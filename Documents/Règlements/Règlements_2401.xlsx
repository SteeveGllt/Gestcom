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Règlements\"/>
    </mc:Choice>
  </mc:AlternateContent>
  <xr:revisionPtr revIDLastSave="0" documentId="8_{E3D4C96C-A5C9-41D4-98C6-07B6FF4B7B2A}" xr6:coauthVersionLast="47" xr6:coauthVersionMax="47" xr10:uidLastSave="{00000000-0000-0000-0000-000000000000}"/>
  <bookViews>
    <workbookView xWindow="-24390" yWindow="2685" windowWidth="21600" windowHeight="11295" activeTab="1" xr2:uid="{C4FF1D3A-90DC-49D7-87E7-A8726CC02176}"/>
  </bookViews>
  <sheets>
    <sheet name="Feuil1" sheetId="1" r:id="rId1"/>
    <sheet name="01 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L22" i="2"/>
  <c r="J22" i="2"/>
  <c r="I22" i="2"/>
  <c r="H22" i="2"/>
  <c r="G22" i="2"/>
  <c r="F22" i="2"/>
  <c r="E22" i="2"/>
  <c r="D22" i="2"/>
  <c r="C22" i="2"/>
  <c r="M19" i="2"/>
  <c r="K19" i="2"/>
  <c r="I19" i="2"/>
  <c r="F19" i="2" s="1"/>
  <c r="G19" i="2"/>
  <c r="M17" i="2"/>
  <c r="K17" i="2"/>
  <c r="I17" i="2"/>
  <c r="G17" i="2"/>
  <c r="M15" i="2"/>
  <c r="K15" i="2"/>
  <c r="I15" i="2"/>
  <c r="G15" i="2"/>
  <c r="M13" i="2"/>
  <c r="K13" i="2"/>
  <c r="I13" i="2"/>
  <c r="G13" i="2"/>
  <c r="M11" i="2"/>
  <c r="K11" i="2"/>
  <c r="I11" i="2"/>
  <c r="G11" i="2"/>
  <c r="F11" i="2"/>
  <c r="K7" i="2"/>
  <c r="H7" i="2"/>
  <c r="F17" i="2" l="1"/>
  <c r="F15" i="2"/>
  <c r="F13" i="2"/>
</calcChain>
</file>

<file path=xl/sharedStrings.xml><?xml version="1.0" encoding="utf-8"?>
<sst xmlns="http://schemas.openxmlformats.org/spreadsheetml/2006/main" count="32" uniqueCount="25">
  <si>
    <t>CLASSEMENT/REGLEMENT DE FABRICATION :</t>
  </si>
  <si>
    <t xml:space="preserve">     JANVIER     2 0 2 4</t>
  </si>
  <si>
    <t>SOCIETES</t>
  </si>
  <si>
    <t xml:space="preserve">    COLLECTE</t>
  </si>
  <si>
    <t xml:space="preserve">  PAINS</t>
  </si>
  <si>
    <t xml:space="preserve">   POIDS</t>
  </si>
  <si>
    <t xml:space="preserve">    QUALITE A</t>
  </si>
  <si>
    <t xml:space="preserve">  %</t>
  </si>
  <si>
    <t>QUAL.A</t>
  </si>
  <si>
    <t xml:space="preserve">    QUALITE B</t>
  </si>
  <si>
    <t xml:space="preserve">    QUALITE C</t>
  </si>
  <si>
    <t xml:space="preserve">   REGLEMENT</t>
  </si>
  <si>
    <t>TOTAL</t>
  </si>
  <si>
    <t xml:space="preserve"> PRIX</t>
  </si>
  <si>
    <t>AU KG</t>
  </si>
  <si>
    <t>MPN</t>
  </si>
  <si>
    <t>Coef Valeur :</t>
  </si>
  <si>
    <t>Marge</t>
  </si>
  <si>
    <t>%</t>
  </si>
  <si>
    <t xml:space="preserve">SCAF GRANGE DE VAIVRE    </t>
  </si>
  <si>
    <t xml:space="preserve">SCAF BRESSE JURASSIENNE  </t>
  </si>
  <si>
    <t>ANDELOT</t>
  </si>
  <si>
    <t xml:space="preserve">SCAF LONGEVELLE/RUSSEY   </t>
  </si>
  <si>
    <t xml:space="preserve">SCAF LAVANS VUILLAFANS 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</si>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</sst>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.##%"/>
    <numFmt numFmtId="165" formatCode="#\ ##0.00\ &quot;€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3" xfId="0" applyFont="1" applyFill="1" applyBorder="1"/>
    <xf numFmtId="0" fontId="3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0" xfId="0" applyFont="1" applyAlignment="1"/>
    <xf numFmtId="164" fontId="1" fillId="0" borderId="0" xfId="0" applyNumberFormat="1" applyFont="1" applyAlignment="1"/>
    <xf numFmtId="0" fontId="1" fillId="3" borderId="0" xfId="0" applyFont="1" applyFill="1"/>
    <xf numFmtId="0" fontId="2" fillId="0" borderId="0" xfId="0" applyFont="1" applyAlignment="1"/>
    <xf numFmtId="0" fontId="4" fillId="0" borderId="0" xfId="0" applyFont="1" applyAlignment="1"/>
    <xf numFmtId="0" fontId="1" fillId="3" borderId="0" xfId="0" applyFont="1" applyFill="1" applyAlignment="1"/>
    <xf numFmtId="2" fontId="4" fillId="0" borderId="0" xfId="0" applyNumberFormat="1" applyFont="1" applyAlignment="1"/>
    <xf numFmtId="165" fontId="1" fillId="0" borderId="0" xfId="0" applyNumberFormat="1" applyFont="1" applyAlignment="1"/>
    <xf numFmtId="0" fontId="2" fillId="4" borderId="8" xfId="0" applyFont="1" applyFill="1" applyBorder="1"/>
    <xf numFmtId="0" fontId="2" fillId="4" borderId="8" xfId="0" applyFont="1" applyFill="1" applyBorder="1" applyAlignment="1">
      <alignment horizontal="center"/>
    </xf>
    <xf numFmtId="165" fontId="2" fillId="4" borderId="8" xfId="0" applyNumberFormat="1" applyFont="1" applyFill="1" applyBorder="1"/>
    <xf numFmtId="165" fontId="2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7E9D-D47D-49EE-B4E2-1887EB02791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15E1-DFBF-4E73-BD30-A4116B16E86C}">
  <dimension ref="B1:M22"/>
  <sheetViews>
    <sheetView tabSelected="1" topLeftCell="B1" workbookViewId="0"/>
  </sheetViews>
  <sheetFormatPr baseColWidth="10" defaultRowHeight="12.75" x14ac:dyDescent="0.2"/>
  <cols>
    <col min="1" max="1" width="0" style="1" hidden="1" customWidth="1"/>
    <col min="2" max="2" width="27.28515625" style="1" customWidth="1"/>
    <col min="3" max="3" width="8.42578125" style="1" customWidth="1"/>
    <col min="4" max="4" width="12.140625" style="1" customWidth="1"/>
    <col min="5" max="5" width="8.28515625" style="1" customWidth="1"/>
    <col min="6" max="8" width="10.28515625" style="1" customWidth="1"/>
    <col min="9" max="9" width="10" style="1" customWidth="1"/>
    <col min="10" max="10" width="10.28515625" style="1" customWidth="1"/>
    <col min="11" max="11" width="10.5703125" style="1" customWidth="1"/>
    <col min="12" max="12" width="15.42578125" style="1" customWidth="1"/>
    <col min="13" max="13" width="11.85546875" style="1" customWidth="1"/>
    <col min="14" max="14" width="1.85546875" style="1" customWidth="1"/>
    <col min="15" max="15" width="1.28515625" style="1" customWidth="1"/>
    <col min="16" max="16384" width="11.42578125" style="1"/>
  </cols>
  <sheetData>
    <row r="1" spans="2:13" ht="12.6" customHeight="1" thickBot="1" x14ac:dyDescent="0.25"/>
    <row r="2" spans="2:13" ht="18.399999999999999" customHeight="1" x14ac:dyDescent="0.2">
      <c r="D2" s="2" t="s">
        <v>0</v>
      </c>
      <c r="I2" s="6" t="s">
        <v>1</v>
      </c>
      <c r="J2" s="4"/>
      <c r="K2" s="5"/>
    </row>
    <row r="3" spans="2:13" ht="30.6" customHeight="1" thickBot="1" x14ac:dyDescent="0.25"/>
    <row r="4" spans="2:13" ht="18" customHeight="1" x14ac:dyDescent="0.2">
      <c r="B4" s="7" t="s">
        <v>2</v>
      </c>
      <c r="C4" s="8" t="s">
        <v>3</v>
      </c>
      <c r="D4" s="3"/>
      <c r="E4" s="10" t="s">
        <v>6</v>
      </c>
      <c r="F4" s="3"/>
      <c r="G4" s="10" t="s">
        <v>7</v>
      </c>
      <c r="H4" s="10" t="s">
        <v>9</v>
      </c>
      <c r="I4" s="3"/>
      <c r="J4" s="10" t="s">
        <v>10</v>
      </c>
      <c r="K4" s="3"/>
      <c r="L4" s="10" t="s">
        <v>11</v>
      </c>
      <c r="M4" s="11" t="s">
        <v>13</v>
      </c>
    </row>
    <row r="5" spans="2:13" ht="13.5" thickBot="1" x14ac:dyDescent="0.25">
      <c r="B5" s="12"/>
      <c r="C5" s="13" t="s">
        <v>4</v>
      </c>
      <c r="D5" s="13" t="s">
        <v>5</v>
      </c>
      <c r="E5" s="13" t="s">
        <v>4</v>
      </c>
      <c r="F5" s="13" t="s">
        <v>5</v>
      </c>
      <c r="G5" s="13" t="s">
        <v>8</v>
      </c>
      <c r="H5" s="13" t="s">
        <v>4</v>
      </c>
      <c r="I5" s="13" t="s">
        <v>5</v>
      </c>
      <c r="J5" s="13" t="s">
        <v>4</v>
      </c>
      <c r="K5" s="13" t="s">
        <v>5</v>
      </c>
      <c r="L5" s="13" t="s">
        <v>12</v>
      </c>
      <c r="M5" s="14" t="s">
        <v>14</v>
      </c>
    </row>
    <row r="7" spans="2:13" x14ac:dyDescent="0.2">
      <c r="C7" s="9" t="s">
        <v>15</v>
      </c>
      <c r="D7" s="15"/>
      <c r="F7" s="9" t="s">
        <v>16</v>
      </c>
      <c r="H7" s="16" t="e">
        <f>+M25/D7</f>
        <v>#DIV/0!</v>
      </c>
      <c r="J7" s="9" t="s">
        <v>17</v>
      </c>
      <c r="K7" s="16" t="e">
        <f>+(D7-M25)/D7</f>
        <v>#DIV/0!</v>
      </c>
      <c r="L7" s="9" t="s">
        <v>18</v>
      </c>
    </row>
    <row r="10" spans="2:13" x14ac:dyDescent="0.2">
      <c r="D10" s="17"/>
      <c r="E10" s="17"/>
      <c r="H10" s="17"/>
      <c r="J10" s="17"/>
    </row>
    <row r="11" spans="2:13" x14ac:dyDescent="0.2">
      <c r="B11" s="18" t="s">
        <v>19</v>
      </c>
      <c r="C11" s="19">
        <v>90</v>
      </c>
      <c r="D11" s="20">
        <v>3301</v>
      </c>
      <c r="E11" s="20">
        <v>90</v>
      </c>
      <c r="F11" s="19">
        <f>D11-I11-K11</f>
        <v>3301</v>
      </c>
      <c r="G11" s="21">
        <f>ROUND(E11/C11*100,2)</f>
        <v>100</v>
      </c>
      <c r="H11" s="20">
        <v>0</v>
      </c>
      <c r="I11" s="19">
        <f>ROUND(+H11/$C11*$D11,0)</f>
        <v>0</v>
      </c>
      <c r="J11" s="20">
        <v>0</v>
      </c>
      <c r="K11" s="19">
        <f>ROUND(+J11/$C11*$D11,0)</f>
        <v>0</v>
      </c>
      <c r="L11" s="22">
        <v>0</v>
      </c>
      <c r="M11" s="22">
        <f>ROUND(L11/D11,2)</f>
        <v>0</v>
      </c>
    </row>
    <row r="12" spans="2:13" x14ac:dyDescent="0.2">
      <c r="D12" s="17"/>
      <c r="E12" s="17"/>
      <c r="H12" s="17"/>
      <c r="J12" s="17"/>
    </row>
    <row r="13" spans="2:13" x14ac:dyDescent="0.2">
      <c r="B13" s="18" t="s">
        <v>20</v>
      </c>
      <c r="C13" s="19">
        <v>352</v>
      </c>
      <c r="D13" s="20">
        <v>13615</v>
      </c>
      <c r="E13" s="20">
        <v>352</v>
      </c>
      <c r="F13" s="19">
        <f>D13-I13-K13</f>
        <v>13615</v>
      </c>
      <c r="G13" s="21">
        <f>ROUND(E13/C13*100,2)</f>
        <v>100</v>
      </c>
      <c r="H13" s="20">
        <v>0</v>
      </c>
      <c r="I13" s="19">
        <f>ROUND(+H13/$C13*$D13,0)</f>
        <v>0</v>
      </c>
      <c r="J13" s="20">
        <v>0</v>
      </c>
      <c r="K13" s="19">
        <f>ROUND(+J13/$C13*$D13,0)</f>
        <v>0</v>
      </c>
      <c r="L13" s="22">
        <v>0</v>
      </c>
      <c r="M13" s="22">
        <f>ROUND(L13/D13,2)</f>
        <v>0</v>
      </c>
    </row>
    <row r="14" spans="2:13" x14ac:dyDescent="0.2">
      <c r="D14" s="17"/>
      <c r="E14" s="17"/>
      <c r="H14" s="17"/>
      <c r="J14" s="17"/>
    </row>
    <row r="15" spans="2:13" x14ac:dyDescent="0.2">
      <c r="B15" s="18" t="s">
        <v>21</v>
      </c>
      <c r="C15" s="19">
        <v>576</v>
      </c>
      <c r="D15" s="20">
        <v>23707</v>
      </c>
      <c r="E15" s="20">
        <v>576</v>
      </c>
      <c r="F15" s="19">
        <f>D15-I15-K15</f>
        <v>23707</v>
      </c>
      <c r="G15" s="21">
        <f>ROUND(E15/C15*100,2)</f>
        <v>100</v>
      </c>
      <c r="H15" s="20">
        <v>0</v>
      </c>
      <c r="I15" s="19">
        <f>ROUND(+H15/$C15*$D15,0)</f>
        <v>0</v>
      </c>
      <c r="J15" s="20">
        <v>0</v>
      </c>
      <c r="K15" s="19">
        <f>ROUND(+J15/$C15*$D15,0)</f>
        <v>0</v>
      </c>
      <c r="L15" s="22">
        <v>0</v>
      </c>
      <c r="M15" s="22">
        <f>ROUND(L15/D15,2)</f>
        <v>0</v>
      </c>
    </row>
    <row r="16" spans="2:13" x14ac:dyDescent="0.2">
      <c r="D16" s="17"/>
      <c r="E16" s="17"/>
      <c r="H16" s="17"/>
      <c r="J16" s="17"/>
    </row>
    <row r="17" spans="2:13" x14ac:dyDescent="0.2">
      <c r="B17" s="18" t="s">
        <v>22</v>
      </c>
      <c r="C17" s="19">
        <v>573</v>
      </c>
      <c r="D17" s="20">
        <v>23129</v>
      </c>
      <c r="E17" s="20">
        <v>499</v>
      </c>
      <c r="F17" s="19">
        <f>D17-I17-K17</f>
        <v>20142</v>
      </c>
      <c r="G17" s="21">
        <f>ROUND(E17/C17*100,2)</f>
        <v>87.09</v>
      </c>
      <c r="H17" s="20">
        <v>74</v>
      </c>
      <c r="I17" s="19">
        <f>ROUND(+H17/$C17*$D17,0)</f>
        <v>2987</v>
      </c>
      <c r="J17" s="20">
        <v>0</v>
      </c>
      <c r="K17" s="19">
        <f>ROUND(+J17/$C17*$D17,0)</f>
        <v>0</v>
      </c>
      <c r="L17" s="22">
        <v>186723.54</v>
      </c>
      <c r="M17" s="22">
        <f>ROUND(L17/D17,2)</f>
        <v>8.07</v>
      </c>
    </row>
    <row r="18" spans="2:13" x14ac:dyDescent="0.2">
      <c r="D18" s="17"/>
      <c r="E18" s="17"/>
      <c r="H18" s="17"/>
      <c r="J18" s="17"/>
    </row>
    <row r="19" spans="2:13" x14ac:dyDescent="0.2">
      <c r="B19" s="18" t="s">
        <v>23</v>
      </c>
      <c r="C19" s="19">
        <v>369</v>
      </c>
      <c r="D19" s="20">
        <v>15382</v>
      </c>
      <c r="E19" s="20">
        <v>364</v>
      </c>
      <c r="F19" s="19">
        <f>D19-I19-K19</f>
        <v>15174</v>
      </c>
      <c r="G19" s="21">
        <f>ROUND(E19/C19*100,2)</f>
        <v>98.64</v>
      </c>
      <c r="H19" s="20">
        <v>5</v>
      </c>
      <c r="I19" s="19">
        <f>ROUND(+H19/$C19*$D19,0)</f>
        <v>208</v>
      </c>
      <c r="J19" s="20">
        <v>0</v>
      </c>
      <c r="K19" s="19">
        <f>ROUND(+J19/$C19*$D19,0)</f>
        <v>0</v>
      </c>
      <c r="L19" s="22">
        <v>126699.6</v>
      </c>
      <c r="M19" s="22">
        <f>ROUND(L19/D19,2)</f>
        <v>8.24</v>
      </c>
    </row>
    <row r="20" spans="2:13" x14ac:dyDescent="0.2">
      <c r="D20" s="17"/>
      <c r="E20" s="17"/>
      <c r="H20" s="17"/>
      <c r="J20" s="17"/>
    </row>
    <row r="22" spans="2:13" x14ac:dyDescent="0.2">
      <c r="B22" s="23" t="s">
        <v>12</v>
      </c>
      <c r="C22" s="23">
        <f>SUM(C11:C21)</f>
        <v>1960</v>
      </c>
      <c r="D22" s="23">
        <f>SUM(D11:D21)</f>
        <v>79134</v>
      </c>
      <c r="E22" s="23">
        <f>SUM(E11:E21)</f>
        <v>1881</v>
      </c>
      <c r="F22" s="23">
        <f>SUM(F11:F21)</f>
        <v>75939</v>
      </c>
      <c r="G22" s="23">
        <f>ROUND(E22/C22*100,0)</f>
        <v>96</v>
      </c>
      <c r="H22" s="23">
        <f>SUM(H11:H21)</f>
        <v>79</v>
      </c>
      <c r="I22" s="23">
        <f>SUM(I11:I21)</f>
        <v>3195</v>
      </c>
      <c r="J22" s="23">
        <f>SUM(J11:J21)</f>
        <v>0</v>
      </c>
      <c r="K22" s="24" t="s">
        <v>24</v>
      </c>
      <c r="L22" s="25">
        <f>SUM(L11:L21)</f>
        <v>313423.14</v>
      </c>
      <c r="M22" s="26">
        <f>ROUND(L22/D22*1000,2)</f>
        <v>3960.66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01 24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2024-08-02T07:31:54Z</dcterms:created>
  <dcterms:modified xsi:type="dcterms:W3CDTF">2024-08-02T07:31:59Z</dcterms:modified>
</cp:coreProperties>
</file>