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ossier Dev\Informatique\Gestcom\Documents\Rappels\"/>
    </mc:Choice>
  </mc:AlternateContent>
  <xr:revisionPtr revIDLastSave="0" documentId="8_{B35C4027-D65E-4E6E-9340-A17DF1630003}" xr6:coauthVersionLast="47" xr6:coauthVersionMax="47" xr10:uidLastSave="{00000000-0000-0000-0000-000000000000}"/>
  <bookViews>
    <workbookView xWindow="5835" yWindow="4185" windowWidth="21600" windowHeight="11295" firstSheet="3" activeTab="5" xr2:uid="{BF4CC841-7691-4FA8-9A94-200C91840CCF}"/>
  </bookViews>
  <sheets>
    <sheet name="Feuil1" sheetId="1" r:id="rId1"/>
    <sheet name="SCAF GRANGE DE VAIVRE    " sheetId="2" r:id="rId2"/>
    <sheet name="SCAF BRESSE JURASSIENNE  " sheetId="3" r:id="rId3"/>
    <sheet name="COOP MONTS DE JOUX" sheetId="4" r:id="rId4"/>
    <sheet name="SCAF LONGEVELLE-RUSSEY   " sheetId="5" r:id="rId5"/>
    <sheet name="SCAF LAVANS VUILLAFANS   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" i="6" l="1"/>
  <c r="K35" i="6"/>
  <c r="E31" i="6"/>
  <c r="K27" i="6"/>
  <c r="E27" i="6"/>
  <c r="C27" i="6"/>
  <c r="K26" i="6"/>
  <c r="K25" i="6"/>
  <c r="H51" i="5"/>
  <c r="K35" i="5"/>
  <c r="E31" i="5"/>
  <c r="K27" i="5"/>
  <c r="E27" i="5"/>
  <c r="C27" i="5"/>
  <c r="K26" i="5"/>
  <c r="K25" i="5"/>
  <c r="H51" i="4"/>
  <c r="K35" i="4"/>
  <c r="E31" i="4"/>
  <c r="K25" i="4"/>
  <c r="H51" i="3"/>
  <c r="K35" i="3"/>
  <c r="E31" i="3"/>
  <c r="K25" i="3"/>
  <c r="H51" i="2"/>
  <c r="K35" i="2"/>
  <c r="E31" i="2"/>
  <c r="K25" i="2"/>
  <c r="K36" i="6" l="1"/>
  <c r="K38" i="6" s="1"/>
  <c r="K36" i="5"/>
  <c r="K38" i="5" s="1"/>
  <c r="K36" i="4"/>
  <c r="K38" i="4" s="1"/>
  <c r="K36" i="3"/>
  <c r="K38" i="3" s="1"/>
  <c r="K36" i="2"/>
  <c r="K38" i="2" s="1"/>
</calcChain>
</file>

<file path=xl/sharedStrings.xml><?xml version="1.0" encoding="utf-8"?>
<sst xmlns="http://schemas.openxmlformats.org/spreadsheetml/2006/main" count="161" uniqueCount="54">
  <si>
    <t xml:space="preserve">M PONCET FREDERIC        </t>
  </si>
  <si>
    <t xml:space="preserve">SCAF GRANGE DE VAIVRE    </t>
  </si>
  <si>
    <t xml:space="preserve">                         </t>
  </si>
  <si>
    <t xml:space="preserve">39600 GRANGE DE VAIVRE         </t>
  </si>
  <si>
    <t xml:space="preserve">      TB/PB</t>
  </si>
  <si>
    <t>Le 17 juillet 2024</t>
  </si>
  <si>
    <t>Monsieur le Président</t>
  </si>
  <si>
    <t xml:space="preserve">          Conformément à nos conditions d'achat, le décompte de votre</t>
  </si>
  <si>
    <t>lot de fabrication FÉVRIER 2024 s'établit comme suit :</t>
  </si>
  <si>
    <t>A</t>
  </si>
  <si>
    <t>pains</t>
  </si>
  <si>
    <t>T</t>
  </si>
  <si>
    <t>x</t>
  </si>
  <si>
    <t>€/T</t>
  </si>
  <si>
    <t xml:space="preserve"> =</t>
  </si>
  <si>
    <t xml:space="preserve">Soit au kg blanc : </t>
  </si>
  <si>
    <t xml:space="preserve">A déduire N/Acompte du </t>
  </si>
  <si>
    <t>Total Hors Taxes</t>
  </si>
  <si>
    <t>T.V.A</t>
  </si>
  <si>
    <t>5,5</t>
  </si>
  <si>
    <t>%</t>
  </si>
  <si>
    <t>Total Réglé</t>
  </si>
  <si>
    <t xml:space="preserve">          Vous en souhaitant bonne réception</t>
  </si>
  <si>
    <t xml:space="preserve">          Nous vous prions d'agréer, Monsieur le Président, nos</t>
  </si>
  <si>
    <t>salutations distinguées</t>
  </si>
  <si>
    <t>Service Comptabilité</t>
  </si>
  <si>
    <t>PS : Nous virons ce jour, sur votre compte N° 12506 39029 50546581010 50</t>
  </si>
  <si>
    <t>CAFC SALINS LES BAINS   , la somme de</t>
  </si>
  <si>
    <t xml:space="preserve">M BUATOIS ANTHONY        </t>
  </si>
  <si>
    <t xml:space="preserve">SCAF BRESSE JURASSIENNE  </t>
  </si>
  <si>
    <t xml:space="preserve">3 PLACE DE LA MAIRIE     </t>
  </si>
  <si>
    <t xml:space="preserve">39140  DESNES                  </t>
  </si>
  <si>
    <t>PS : Nous virons ce jour, sur votre compte N° 12506 39023 40357496000 40</t>
  </si>
  <si>
    <t>CAFC POLIGNY            , la somme de</t>
  </si>
  <si>
    <t>ATELIER ANDELOT</t>
  </si>
  <si>
    <t>COOP MONTS DE JOUX</t>
  </si>
  <si>
    <t>36, Rue Laurent TROUTET</t>
  </si>
  <si>
    <t>25560 BANNANS</t>
  </si>
  <si>
    <t xml:space="preserve">PS : Nous virons ce jour, sur votre compte N° 0 0  </t>
  </si>
  <si>
    <t>, la somme de</t>
  </si>
  <si>
    <t xml:space="preserve">Mr DEVAUX JOHANN         </t>
  </si>
  <si>
    <t xml:space="preserve">SCAF LONGEVELLE/RUSSEY   </t>
  </si>
  <si>
    <t xml:space="preserve">2, rue du Conot          </t>
  </si>
  <si>
    <t>25380 CHARMOILLE</t>
  </si>
  <si>
    <t>lot de fabrication JANVIER 2024 s'établit comme suit :</t>
  </si>
  <si>
    <t>B</t>
  </si>
  <si>
    <t>PS : Nous virons ce jour, sur votre compte N° 12506 20017 11707951010 11</t>
  </si>
  <si>
    <t>CAFC SANCEY LE GRAND    , la somme de</t>
  </si>
  <si>
    <t xml:space="preserve">MR JOANY LEPINE          </t>
  </si>
  <si>
    <t xml:space="preserve">SCAF LAVANS VUILLAFANS   </t>
  </si>
  <si>
    <t xml:space="preserve">6, Chemin des Clos Ronds </t>
  </si>
  <si>
    <t xml:space="preserve">25380  LAVANS VUILLAFANS       </t>
  </si>
  <si>
    <t>PS : Nous virons ce jour, sur votre compte N° 10807 6 22321737995 22</t>
  </si>
  <si>
    <t>BNP ORNANS              , la somme 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</si>
</sst>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\ ##0.000"/>
    <numFmt numFmtId="165" formatCode="#\ ##0.00"/>
    <numFmt numFmtId="166" formatCode="#\ ##0.00\ &quot;€&quot;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164" fontId="2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166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9EE86-AC3F-4259-9BBC-C284B160E68D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63A49-C885-424D-AB6A-3BA39E20716B}">
  <dimension ref="A8:K51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0</v>
      </c>
    </row>
    <row r="9" spans="1:7" x14ac:dyDescent="0.2">
      <c r="F9" s="1" t="s">
        <v>1</v>
      </c>
    </row>
    <row r="10" spans="1:7" x14ac:dyDescent="0.2">
      <c r="F10" s="1" t="s">
        <v>2</v>
      </c>
    </row>
    <row r="11" spans="1:7" x14ac:dyDescent="0.2">
      <c r="F11" s="1" t="s">
        <v>3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195</v>
      </c>
      <c r="D25" s="1" t="s">
        <v>10</v>
      </c>
      <c r="E25" s="5">
        <v>6.9880000000000004</v>
      </c>
      <c r="F25" s="3" t="s">
        <v>11</v>
      </c>
      <c r="G25" s="2" t="s">
        <v>12</v>
      </c>
      <c r="H25" s="7">
        <v>10370.24</v>
      </c>
      <c r="I25" s="1" t="s">
        <v>13</v>
      </c>
      <c r="J25" s="1" t="s">
        <v>14</v>
      </c>
      <c r="K25" s="8">
        <f>ROUND(+E25*H25, 2)</f>
        <v>72467.240000000005</v>
      </c>
    </row>
    <row r="30" spans="2:11" ht="3.75" customHeight="1" x14ac:dyDescent="0.2"/>
    <row r="31" spans="2:11" x14ac:dyDescent="0.2">
      <c r="B31" s="1" t="s">
        <v>15</v>
      </c>
      <c r="E31" s="6">
        <f>ROUND(+K25/E25,2)</f>
        <v>10370.24</v>
      </c>
      <c r="F31" s="1" t="s">
        <v>13</v>
      </c>
    </row>
    <row r="33" spans="2:11" x14ac:dyDescent="0.2">
      <c r="D33" s="1" t="s">
        <v>16</v>
      </c>
      <c r="K33" s="10">
        <v>-46120.800000000003</v>
      </c>
    </row>
    <row r="34" spans="2:11" ht="3.75" customHeight="1" x14ac:dyDescent="0.2"/>
    <row r="35" spans="2:11" x14ac:dyDescent="0.2">
      <c r="G35" s="1" t="s">
        <v>17</v>
      </c>
      <c r="K35" s="8">
        <f>SUM(K25,K33)</f>
        <v>26346.440000000002</v>
      </c>
    </row>
    <row r="36" spans="2:11" x14ac:dyDescent="0.2">
      <c r="G36" s="1" t="s">
        <v>18</v>
      </c>
      <c r="I36" s="1" t="s">
        <v>19</v>
      </c>
      <c r="J36" s="1" t="s">
        <v>20</v>
      </c>
      <c r="K36" s="10">
        <f>+K35*I36/100</f>
        <v>1449.0542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27795.494200000001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26</v>
      </c>
    </row>
    <row r="51" spans="2:8" x14ac:dyDescent="0.2">
      <c r="B51" s="1" t="s">
        <v>27</v>
      </c>
      <c r="H51" s="8">
        <f>+K38</f>
        <v>27795.494200000001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BCB2-EF6E-4516-901B-38D5E4035D51}">
  <dimension ref="A8:K51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28</v>
      </c>
    </row>
    <row r="9" spans="1:7" x14ac:dyDescent="0.2">
      <c r="F9" s="1" t="s">
        <v>29</v>
      </c>
    </row>
    <row r="10" spans="1:7" x14ac:dyDescent="0.2">
      <c r="F10" s="1" t="s">
        <v>30</v>
      </c>
    </row>
    <row r="11" spans="1:7" x14ac:dyDescent="0.2">
      <c r="F11" s="1" t="s">
        <v>31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344</v>
      </c>
      <c r="D25" s="1" t="s">
        <v>10</v>
      </c>
      <c r="E25" s="5">
        <v>13.378</v>
      </c>
      <c r="F25" s="3" t="s">
        <v>11</v>
      </c>
      <c r="G25" s="2" t="s">
        <v>12</v>
      </c>
      <c r="H25" s="7">
        <v>8465.5400000000009</v>
      </c>
      <c r="I25" s="1" t="s">
        <v>13</v>
      </c>
      <c r="J25" s="1" t="s">
        <v>14</v>
      </c>
      <c r="K25" s="8">
        <f>ROUND(+E25*H25, 2)</f>
        <v>113251.99</v>
      </c>
    </row>
    <row r="30" spans="2:11" ht="3.75" customHeight="1" x14ac:dyDescent="0.2"/>
    <row r="31" spans="2:11" x14ac:dyDescent="0.2">
      <c r="B31" s="1" t="s">
        <v>15</v>
      </c>
      <c r="E31" s="6">
        <f>ROUND(+K25/E25,2)</f>
        <v>8465.5400000000009</v>
      </c>
      <c r="F31" s="1" t="s">
        <v>13</v>
      </c>
    </row>
    <row r="33" spans="2:11" x14ac:dyDescent="0.2">
      <c r="D33" s="1" t="s">
        <v>16</v>
      </c>
      <c r="K33" s="10">
        <v>-88294.8</v>
      </c>
    </row>
    <row r="34" spans="2:11" ht="3.75" customHeight="1" x14ac:dyDescent="0.2"/>
    <row r="35" spans="2:11" x14ac:dyDescent="0.2">
      <c r="G35" s="1" t="s">
        <v>17</v>
      </c>
      <c r="K35" s="8">
        <f>SUM(K25,K33)</f>
        <v>24957.190000000002</v>
      </c>
    </row>
    <row r="36" spans="2:11" x14ac:dyDescent="0.2">
      <c r="G36" s="1" t="s">
        <v>18</v>
      </c>
      <c r="I36" s="1" t="s">
        <v>19</v>
      </c>
      <c r="J36" s="1" t="s">
        <v>20</v>
      </c>
      <c r="K36" s="10">
        <f>+K35*I36/100</f>
        <v>1372.6454500000002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26329.835450000002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32</v>
      </c>
    </row>
    <row r="51" spans="2:8" x14ac:dyDescent="0.2">
      <c r="B51" s="1" t="s">
        <v>33</v>
      </c>
      <c r="H51" s="8">
        <f>+K38</f>
        <v>26329.835450000002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01B4B-35BD-4364-A9ED-3A7DF86088A0}">
  <dimension ref="A8:K51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34</v>
      </c>
    </row>
    <row r="9" spans="1:7" x14ac:dyDescent="0.2">
      <c r="F9" s="1" t="s">
        <v>35</v>
      </c>
    </row>
    <row r="10" spans="1:7" x14ac:dyDescent="0.2">
      <c r="F10" s="1" t="s">
        <v>36</v>
      </c>
    </row>
    <row r="11" spans="1:7" x14ac:dyDescent="0.2">
      <c r="F11" s="1" t="s">
        <v>37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660</v>
      </c>
      <c r="D25" s="1" t="s">
        <v>10</v>
      </c>
      <c r="E25" s="5">
        <v>26.693000000000001</v>
      </c>
      <c r="F25" s="3" t="s">
        <v>11</v>
      </c>
      <c r="G25" s="2" t="s">
        <v>12</v>
      </c>
      <c r="H25" s="7">
        <v>8949.7999999999993</v>
      </c>
      <c r="I25" s="1" t="s">
        <v>13</v>
      </c>
      <c r="J25" s="1" t="s">
        <v>14</v>
      </c>
      <c r="K25" s="8">
        <f>ROUND(+E25*H25, 2)</f>
        <v>238897.01</v>
      </c>
    </row>
    <row r="30" spans="2:11" ht="3.75" customHeight="1" x14ac:dyDescent="0.2"/>
    <row r="31" spans="2:11" x14ac:dyDescent="0.2">
      <c r="B31" s="1" t="s">
        <v>15</v>
      </c>
      <c r="E31" s="6">
        <f>ROUND(+K25/E25,2)</f>
        <v>8949.7999999999993</v>
      </c>
      <c r="F31" s="1" t="s">
        <v>13</v>
      </c>
    </row>
    <row r="33" spans="2:11" x14ac:dyDescent="0.2">
      <c r="D33" s="1" t="s">
        <v>16</v>
      </c>
      <c r="K33" s="10">
        <v>-176173.8</v>
      </c>
    </row>
    <row r="34" spans="2:11" ht="3.75" customHeight="1" x14ac:dyDescent="0.2"/>
    <row r="35" spans="2:11" x14ac:dyDescent="0.2">
      <c r="G35" s="1" t="s">
        <v>17</v>
      </c>
      <c r="K35" s="8">
        <f>SUM(K25,K33)</f>
        <v>62723.210000000021</v>
      </c>
    </row>
    <row r="36" spans="2:11" x14ac:dyDescent="0.2">
      <c r="G36" s="1" t="s">
        <v>18</v>
      </c>
      <c r="I36" s="1" t="s">
        <v>19</v>
      </c>
      <c r="J36" s="1" t="s">
        <v>20</v>
      </c>
      <c r="K36" s="10">
        <f>+K35*I36/100</f>
        <v>3449.7765500000014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66172.986550000016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38</v>
      </c>
    </row>
    <row r="51" spans="2:8" x14ac:dyDescent="0.2">
      <c r="B51" s="1" t="s">
        <v>39</v>
      </c>
      <c r="H51" s="8">
        <f>+K38</f>
        <v>66172.986550000016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2F98C-BE43-4AE4-875B-76E1058B8CF2}">
  <dimension ref="A8:K51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40</v>
      </c>
    </row>
    <row r="9" spans="1:7" x14ac:dyDescent="0.2">
      <c r="F9" s="1" t="s">
        <v>41</v>
      </c>
    </row>
    <row r="10" spans="1:7" x14ac:dyDescent="0.2">
      <c r="F10" s="1" t="s">
        <v>42</v>
      </c>
    </row>
    <row r="11" spans="1:7" x14ac:dyDescent="0.2">
      <c r="F11" s="1" t="s">
        <v>43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44</v>
      </c>
    </row>
    <row r="25" spans="2:11" ht="15" x14ac:dyDescent="0.25">
      <c r="B25" s="2" t="s">
        <v>9</v>
      </c>
      <c r="C25" s="4">
        <v>499</v>
      </c>
      <c r="D25" s="1" t="s">
        <v>10</v>
      </c>
      <c r="E25" s="5">
        <v>20.141999999999999</v>
      </c>
      <c r="F25" s="3" t="s">
        <v>11</v>
      </c>
      <c r="G25" s="2" t="s">
        <v>12</v>
      </c>
      <c r="H25" s="7">
        <v>8232.93</v>
      </c>
      <c r="I25" s="1" t="s">
        <v>13</v>
      </c>
      <c r="J25" s="1" t="s">
        <v>14</v>
      </c>
      <c r="K25" s="8">
        <f>ROUND(+E25*H25, 2)</f>
        <v>165827.68</v>
      </c>
    </row>
    <row r="26" spans="2:11" ht="15" x14ac:dyDescent="0.25">
      <c r="B26" s="2" t="s">
        <v>45</v>
      </c>
      <c r="C26" s="11">
        <v>74</v>
      </c>
      <c r="D26" s="1" t="s">
        <v>10</v>
      </c>
      <c r="E26" s="12">
        <v>2.9870000000000001</v>
      </c>
      <c r="F26" s="3" t="s">
        <v>11</v>
      </c>
      <c r="G26" s="2" t="s">
        <v>12</v>
      </c>
      <c r="H26" s="7">
        <v>6995.6</v>
      </c>
      <c r="I26" s="1" t="s">
        <v>13</v>
      </c>
      <c r="J26" s="1" t="s">
        <v>14</v>
      </c>
      <c r="K26" s="10">
        <f>ROUND(+E26*H26, 2)</f>
        <v>20895.86</v>
      </c>
    </row>
    <row r="27" spans="2:11" ht="15" x14ac:dyDescent="0.25">
      <c r="C27" s="4">
        <f>SUM(C25:C26)</f>
        <v>573</v>
      </c>
      <c r="D27" s="1" t="s">
        <v>10</v>
      </c>
      <c r="E27" s="5">
        <f>SUM(E25:E26)</f>
        <v>23.128999999999998</v>
      </c>
      <c r="F27" s="1" t="s">
        <v>11</v>
      </c>
      <c r="K27" s="9">
        <f>SUM(K25:K26)</f>
        <v>186723.53999999998</v>
      </c>
    </row>
    <row r="30" spans="2:11" ht="3.75" customHeight="1" x14ac:dyDescent="0.2"/>
    <row r="31" spans="2:11" x14ac:dyDescent="0.2">
      <c r="B31" s="1" t="s">
        <v>15</v>
      </c>
      <c r="E31" s="6">
        <f>ROUND(K27/E27,2)</f>
        <v>8073.14</v>
      </c>
      <c r="F31" s="1" t="s">
        <v>13</v>
      </c>
    </row>
    <row r="33" spans="2:11" x14ac:dyDescent="0.2">
      <c r="D33" s="1" t="s">
        <v>16</v>
      </c>
      <c r="K33" s="10">
        <v>0</v>
      </c>
    </row>
    <row r="34" spans="2:11" ht="3.75" customHeight="1" x14ac:dyDescent="0.2"/>
    <row r="35" spans="2:11" x14ac:dyDescent="0.2">
      <c r="G35" s="1" t="s">
        <v>17</v>
      </c>
      <c r="K35" s="8">
        <f>SUM(K27,K33)</f>
        <v>186723.53999999998</v>
      </c>
    </row>
    <row r="36" spans="2:11" x14ac:dyDescent="0.2">
      <c r="G36" s="1" t="s">
        <v>18</v>
      </c>
      <c r="I36" s="1" t="s">
        <v>19</v>
      </c>
      <c r="J36" s="1" t="s">
        <v>20</v>
      </c>
      <c r="K36" s="10">
        <f>+K35*I36/100</f>
        <v>10269.794699999999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196993.33469999998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46</v>
      </c>
    </row>
    <row r="51" spans="2:8" x14ac:dyDescent="0.2">
      <c r="B51" s="1" t="s">
        <v>47</v>
      </c>
      <c r="H51" s="8">
        <f>+K38</f>
        <v>196993.33469999998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C6CB2-E0EA-43A6-B9F9-077E52785AB7}">
  <dimension ref="A8:K51"/>
  <sheetViews>
    <sheetView tabSelected="1"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48</v>
      </c>
    </row>
    <row r="9" spans="1:7" x14ac:dyDescent="0.2">
      <c r="F9" s="1" t="s">
        <v>49</v>
      </c>
    </row>
    <row r="10" spans="1:7" x14ac:dyDescent="0.2">
      <c r="F10" s="1" t="s">
        <v>50</v>
      </c>
    </row>
    <row r="11" spans="1:7" x14ac:dyDescent="0.2">
      <c r="F11" s="1" t="s">
        <v>51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44</v>
      </c>
    </row>
    <row r="25" spans="2:11" ht="15" x14ac:dyDescent="0.25">
      <c r="B25" s="2" t="s">
        <v>9</v>
      </c>
      <c r="C25" s="4">
        <v>364</v>
      </c>
      <c r="D25" s="1" t="s">
        <v>10</v>
      </c>
      <c r="E25" s="5">
        <v>15.173999999999999</v>
      </c>
      <c r="F25" s="3" t="s">
        <v>11</v>
      </c>
      <c r="G25" s="2" t="s">
        <v>12</v>
      </c>
      <c r="H25" s="7">
        <v>8252.93</v>
      </c>
      <c r="I25" s="1" t="s">
        <v>13</v>
      </c>
      <c r="J25" s="1" t="s">
        <v>14</v>
      </c>
      <c r="K25" s="8">
        <f>ROUND(+E25*H25, 2)</f>
        <v>125229.96</v>
      </c>
    </row>
    <row r="26" spans="2:11" ht="15" x14ac:dyDescent="0.25">
      <c r="B26" s="2" t="s">
        <v>45</v>
      </c>
      <c r="C26" s="11">
        <v>5</v>
      </c>
      <c r="D26" s="1" t="s">
        <v>10</v>
      </c>
      <c r="E26" s="12">
        <v>0.20799999999999999</v>
      </c>
      <c r="F26" s="3" t="s">
        <v>11</v>
      </c>
      <c r="G26" s="2" t="s">
        <v>12</v>
      </c>
      <c r="H26" s="7">
        <v>7065.6</v>
      </c>
      <c r="I26" s="1" t="s">
        <v>13</v>
      </c>
      <c r="J26" s="1" t="s">
        <v>14</v>
      </c>
      <c r="K26" s="10">
        <f>ROUND(+E26*H26, 2)</f>
        <v>1469.64</v>
      </c>
    </row>
    <row r="27" spans="2:11" ht="15" x14ac:dyDescent="0.25">
      <c r="C27" s="4">
        <f>SUM(C25:C26)</f>
        <v>369</v>
      </c>
      <c r="D27" s="1" t="s">
        <v>10</v>
      </c>
      <c r="E27" s="5">
        <f>SUM(E25:E26)</f>
        <v>15.382</v>
      </c>
      <c r="F27" s="1" t="s">
        <v>11</v>
      </c>
      <c r="K27" s="9">
        <f>SUM(K25:K26)</f>
        <v>126699.6</v>
      </c>
    </row>
    <row r="30" spans="2:11" ht="3.75" customHeight="1" x14ac:dyDescent="0.2"/>
    <row r="31" spans="2:11" x14ac:dyDescent="0.2">
      <c r="B31" s="1" t="s">
        <v>15</v>
      </c>
      <c r="E31" s="6">
        <f>ROUND(K27/E27,2)</f>
        <v>8236.8700000000008</v>
      </c>
      <c r="F31" s="1" t="s">
        <v>13</v>
      </c>
    </row>
    <row r="33" spans="2:11" x14ac:dyDescent="0.2">
      <c r="D33" s="1" t="s">
        <v>16</v>
      </c>
      <c r="K33" s="10">
        <v>0</v>
      </c>
    </row>
    <row r="34" spans="2:11" ht="3.75" customHeight="1" x14ac:dyDescent="0.2"/>
    <row r="35" spans="2:11" x14ac:dyDescent="0.2">
      <c r="G35" s="1" t="s">
        <v>17</v>
      </c>
      <c r="K35" s="8">
        <f>SUM(K27,K33)</f>
        <v>126699.6</v>
      </c>
    </row>
    <row r="36" spans="2:11" x14ac:dyDescent="0.2">
      <c r="G36" s="1" t="s">
        <v>18</v>
      </c>
      <c r="I36" s="1" t="s">
        <v>19</v>
      </c>
      <c r="J36" s="1" t="s">
        <v>20</v>
      </c>
      <c r="K36" s="10">
        <f>+K35*I36/100</f>
        <v>6968.4780000000001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133668.07800000001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52</v>
      </c>
    </row>
    <row r="51" spans="2:8" x14ac:dyDescent="0.2">
      <c r="B51" s="1" t="s">
        <v>53</v>
      </c>
      <c r="H51" s="8">
        <f>+K38</f>
        <v>133668.07800000001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Feuil1</vt:lpstr>
      <vt:lpstr>SCAF GRANGE DE VAIVRE    </vt:lpstr>
      <vt:lpstr>SCAF BRESSE JURASSIENNE  </vt:lpstr>
      <vt:lpstr>COOP MONTS DE JOUX</vt:lpstr>
      <vt:lpstr>SCAF LONGEVELLE-RUSSEY   </vt:lpstr>
      <vt:lpstr>SCAF LAVANS VUILLAFANS  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steeve guillot</dc:creator>
  <cp:lastModifiedBy>steeve guillot</cp:lastModifiedBy>
  <dcterms:created xsi:type="dcterms:W3CDTF">2024-07-17T10:25:17Z</dcterms:created>
  <dcterms:modified xsi:type="dcterms:W3CDTF">2024-07-17T10:25:23Z</dcterms:modified>
</cp:coreProperties>
</file>