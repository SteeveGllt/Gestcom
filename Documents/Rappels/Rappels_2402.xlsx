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1C9DA667-C164-4598-82F0-1434593A53EA}" xr6:coauthVersionLast="47" xr6:coauthVersionMax="47" xr10:uidLastSave="{00000000-0000-0000-0000-000000000000}"/>
  <bookViews>
    <workbookView xWindow="-24225" yWindow="3315" windowWidth="21600" windowHeight="11295" firstSheet="4" activeTab="6" xr2:uid="{BFB1C835-2A59-4566-B6FB-CB60003501CF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7" l="1"/>
  <c r="K35" i="7"/>
  <c r="E31" i="7"/>
  <c r="K27" i="7"/>
  <c r="E27" i="7"/>
  <c r="C27" i="7"/>
  <c r="K26" i="7"/>
  <c r="K25" i="7"/>
  <c r="H51" i="6"/>
  <c r="E31" i="6"/>
  <c r="K35" i="6"/>
  <c r="K31" i="6"/>
  <c r="K27" i="6"/>
  <c r="H27" i="6"/>
  <c r="K25" i="6"/>
  <c r="H51" i="5"/>
  <c r="K35" i="5"/>
  <c r="E31" i="5"/>
  <c r="K27" i="5"/>
  <c r="E27" i="5"/>
  <c r="C27" i="5"/>
  <c r="K26" i="5"/>
  <c r="K25" i="5"/>
  <c r="H51" i="4"/>
  <c r="E31" i="4"/>
  <c r="K35" i="4"/>
  <c r="K31" i="4"/>
  <c r="K27" i="4"/>
  <c r="H27" i="4"/>
  <c r="K25" i="4"/>
  <c r="H51" i="3"/>
  <c r="K35" i="3"/>
  <c r="E31" i="3"/>
  <c r="K25" i="3"/>
  <c r="H51" i="2"/>
  <c r="K35" i="2"/>
  <c r="E31" i="2"/>
  <c r="K25" i="2"/>
  <c r="K36" i="7" l="1"/>
  <c r="K38" i="7" s="1"/>
  <c r="K36" i="6"/>
  <c r="K38" i="6" s="1"/>
  <c r="K36" i="5"/>
  <c r="K38" i="5" s="1"/>
  <c r="K36" i="4"/>
  <c r="K38" i="4" s="1"/>
  <c r="K36" i="3"/>
  <c r="K38" i="3" s="1"/>
  <c r="K36" i="2"/>
  <c r="K38" i="2" s="1"/>
</calcChain>
</file>

<file path=xl/sharedStrings.xml><?xml version="1.0" encoding="utf-8"?>
<sst xmlns="http://schemas.openxmlformats.org/spreadsheetml/2006/main" count="202" uniqueCount="58">
  <si>
    <t>SCAF DE LA FRUITIERE DU VAL DE LOUE</t>
  </si>
  <si>
    <t>Mr Frédéric PONCET</t>
  </si>
  <si>
    <t xml:space="preserve">                         </t>
  </si>
  <si>
    <t xml:space="preserve">39600 GRANGE DE VAIVRE         </t>
  </si>
  <si>
    <t xml:space="preserve">      TB/PB</t>
  </si>
  <si>
    <t>Le 26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</si>
  <si>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</si>
  <si>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</si>
  <si>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</si>
  <si>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</si>
  <si>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</si>
  <si>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</si>
  <si>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</si>
  <si>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</si>
  <si>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</si>
  <si>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</si>
  <si>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</si>
  <si>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</si>
  <si>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</si>
  <si>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</si>
  <si>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</si>
  <si>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</si>
  <si>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</si>
  <si>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</si>
  <si>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</si>
  <si>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</si>
  <si>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</si>
  <si>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</si>
  <si>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</si>
  <si>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</si>
  <si>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</si>
  <si>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</si>
  <si>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</si>
  <si>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</si>
  <si>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</si>
  <si>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</si>
  <si>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</si>
  <si>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</si>
  <si>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>Prime qualité:</t>
  </si>
  <si>
    <t>Total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</si>
  <si>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</si>
  <si>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</si>
  <si>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</si>
  <si>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</si>
  <si>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</si>
  <si>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</si>
  <si>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lot de fabrication JANVIER 2024 s'établit comme suit :</t>
  </si>
  <si>
    <t>B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</si>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</sst>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0"/>
    <numFmt numFmtId="165" formatCode="#\ ##0.00"/>
    <numFmt numFmtId="166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12E9-13DC-449F-887F-78EC8082A57D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7CF28-10BC-4D6D-ABC5-2B6DD0F7D82F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10370.24</v>
      </c>
      <c r="F31" s="1" t="s">
        <v>13</v>
      </c>
    </row>
    <row r="33" spans="2:11" x14ac:dyDescent="0.2">
      <c r="D33" s="1" t="s">
        <v>16</v>
      </c>
      <c r="K33" s="11">
        <v>-46120.800000000003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26346.440000000002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1449.0542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27795.494200000001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62FFD-3DA2-4FCE-BFD1-E1AC54E3F58F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">
      <c r="D33" s="1" t="s">
        <v>16</v>
      </c>
      <c r="K33" s="11">
        <v>-88294.8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24957.190000000002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1372.6454500000002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26329.835450000002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F995-510F-4D6C-B472-8361D049545F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27" spans="2:11" x14ac:dyDescent="0.2">
      <c r="B27" s="1" t="s">
        <v>38</v>
      </c>
      <c r="E27" s="6">
        <v>26.693000000000001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4778.05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243675.06</v>
      </c>
    </row>
    <row r="33" spans="2:11" x14ac:dyDescent="0.2">
      <c r="D33" s="1" t="s">
        <v>16</v>
      </c>
      <c r="K33" s="11">
        <v>-176173.8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67501.260000000009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3712.5693000000006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71213.829300000012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71213.829300000012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93E18-C81D-4C30-A0B3-E2FB29073D2A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42</v>
      </c>
    </row>
    <row r="9" spans="1:7" x14ac:dyDescent="0.2">
      <c r="F9" s="1" t="s">
        <v>43</v>
      </c>
    </row>
    <row r="10" spans="1:7" x14ac:dyDescent="0.2">
      <c r="F10" s="1" t="s">
        <v>44</v>
      </c>
    </row>
    <row r="11" spans="1:7" x14ac:dyDescent="0.2">
      <c r="F11" s="1" t="s">
        <v>45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47</v>
      </c>
      <c r="C26" s="12">
        <v>74</v>
      </c>
      <c r="D26" s="1" t="s">
        <v>10</v>
      </c>
      <c r="E26" s="13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1">
        <f>ROUND(+E26*H26, 2)</f>
        <v>20895.86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8073.14</v>
      </c>
      <c r="F31" s="1" t="s">
        <v>13</v>
      </c>
    </row>
    <row r="33" spans="2:11" x14ac:dyDescent="0.2">
      <c r="D33" s="1" t="s">
        <v>16</v>
      </c>
      <c r="K33" s="11">
        <v>-152651.4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34072.139999999985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1873.967699999999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35946.107699999986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48</v>
      </c>
    </row>
    <row r="51" spans="2:8" x14ac:dyDescent="0.2">
      <c r="B51" s="1" t="s">
        <v>49</v>
      </c>
      <c r="H51" s="8">
        <f>+K38</f>
        <v>35946.107699999986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1CA3D-DA12-483C-BBED-FF7E7AFEDBE0}">
  <dimension ref="A8:K51"/>
  <sheetViews>
    <sheetView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50</v>
      </c>
    </row>
    <row r="10" spans="1:7" x14ac:dyDescent="0.2">
      <c r="F10" s="1" t="s">
        <v>36</v>
      </c>
    </row>
    <row r="11" spans="1:7" x14ac:dyDescent="0.2">
      <c r="F11" s="1" t="s">
        <v>51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240</v>
      </c>
      <c r="D25" s="1" t="s">
        <v>10</v>
      </c>
      <c r="E25" s="5">
        <v>9.2100000000000009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82427.66</v>
      </c>
    </row>
    <row r="27" spans="2:11" x14ac:dyDescent="0.2">
      <c r="B27" s="1" t="s">
        <v>38</v>
      </c>
      <c r="E27" s="6">
        <v>9.2100000000000009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1648.59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84076.25</v>
      </c>
    </row>
    <row r="33" spans="2:11" x14ac:dyDescent="0.2">
      <c r="D33" s="1" t="s">
        <v>16</v>
      </c>
      <c r="K33" s="11">
        <v>-60786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23290.25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1280.9637499999999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24571.213749999999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24571.213749999999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DBA2C-8D9C-4F7C-B8CD-22DA69D4BB67}">
  <dimension ref="A8:K51"/>
  <sheetViews>
    <sheetView tabSelected="1" workbookViewId="0"/>
  </sheetViews>
  <sheetFormatPr baseColWidth="10" defaultRowHeight="14.25" x14ac:dyDescent="0.2"/>
  <cols>
    <col min="1" max="1" width="11.71093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52</v>
      </c>
    </row>
    <row r="9" spans="1:7" x14ac:dyDescent="0.2">
      <c r="F9" s="1" t="s">
        <v>53</v>
      </c>
    </row>
    <row r="10" spans="1:7" x14ac:dyDescent="0.2">
      <c r="F10" s="1" t="s">
        <v>54</v>
      </c>
    </row>
    <row r="11" spans="1:7" x14ac:dyDescent="0.2">
      <c r="F11" s="1" t="s">
        <v>55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47</v>
      </c>
      <c r="C26" s="12">
        <v>5</v>
      </c>
      <c r="D26" s="1" t="s">
        <v>10</v>
      </c>
      <c r="E26" s="13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1">
        <f>ROUND(+E26*H26, 2)</f>
        <v>1469.64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">
      <c r="D33" s="1" t="s">
        <v>16</v>
      </c>
      <c r="K33" s="11">
        <v>-101521.2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25178.400000000009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1384.8120000000004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26563.21200000001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56</v>
      </c>
    </row>
    <row r="51" spans="2:8" x14ac:dyDescent="0.2">
      <c r="B51" s="1" t="s">
        <v>57</v>
      </c>
      <c r="H51" s="8">
        <f>+K38</f>
        <v>26563.21200000001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2024-07-26T12:59:38Z</dcterms:created>
  <dcterms:modified xsi:type="dcterms:W3CDTF">2024-07-26T12:59:44Z</dcterms:modified>
</cp:coreProperties>
</file>