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ssier Dev\Informatique\Gestcom\Documents\Rappels\"/>
    </mc:Choice>
  </mc:AlternateContent>
  <xr:revisionPtr revIDLastSave="0" documentId="8_{038EB217-4F3A-4883-94A2-87976DC811C8}" xr6:coauthVersionLast="47" xr6:coauthVersionMax="47" xr10:uidLastSave="{00000000-0000-0000-0000-000000000000}"/>
  <bookViews>
    <workbookView xWindow="-24390" yWindow="2685" windowWidth="21600" windowHeight="11295" firstSheet="4" activeTab="6" xr2:uid="{4D07DEBE-A6E9-4D53-877F-8453A6C73A6D}"/>
  </bookViews>
  <sheets>
    <sheet name="Feuil1" sheetId="1" r:id="rId1"/>
    <sheet name="SCAF GRANGE DE VAIVRE    " sheetId="2" r:id="rId2"/>
    <sheet name="SCAF BRESSE JURASSIENNE  " sheetId="3" r:id="rId3"/>
    <sheet name="ANDELOT" sheetId="4" r:id="rId4"/>
    <sheet name="SCAF LONGEVELLE-RUSSEY   " sheetId="5" r:id="rId5"/>
    <sheet name="GD COMBE CHATELEU        " sheetId="6" r:id="rId6"/>
    <sheet name="SCAF LAVANS VUILLAFANS   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7" l="1"/>
  <c r="K35" i="7"/>
  <c r="E31" i="7"/>
  <c r="K27" i="7"/>
  <c r="E27" i="7"/>
  <c r="C27" i="7"/>
  <c r="K26" i="7"/>
  <c r="K25" i="7"/>
  <c r="H51" i="6"/>
  <c r="E31" i="6"/>
  <c r="K35" i="6"/>
  <c r="K31" i="6"/>
  <c r="K27" i="6"/>
  <c r="H27" i="6"/>
  <c r="K25" i="6"/>
  <c r="H51" i="5"/>
  <c r="K35" i="5"/>
  <c r="E31" i="5"/>
  <c r="K27" i="5"/>
  <c r="E27" i="5"/>
  <c r="C27" i="5"/>
  <c r="K26" i="5"/>
  <c r="K25" i="5"/>
  <c r="H51" i="4"/>
  <c r="E31" i="4"/>
  <c r="K35" i="4"/>
  <c r="K31" i="4"/>
  <c r="K27" i="4"/>
  <c r="H27" i="4"/>
  <c r="K25" i="4"/>
  <c r="H51" i="3"/>
  <c r="K35" i="3"/>
  <c r="K36" i="3" s="1"/>
  <c r="K38" i="3" s="1"/>
  <c r="E31" i="3"/>
  <c r="K25" i="3"/>
  <c r="H51" i="2"/>
  <c r="K35" i="2"/>
  <c r="E31" i="2"/>
  <c r="K25" i="2"/>
  <c r="K36" i="7" l="1"/>
  <c r="K38" i="7" s="1"/>
  <c r="K36" i="6"/>
  <c r="K38" i="6" s="1"/>
  <c r="K36" i="5"/>
  <c r="K38" i="5" s="1"/>
  <c r="K36" i="4"/>
  <c r="K38" i="4" s="1"/>
  <c r="K36" i="2"/>
  <c r="K38" i="2" s="1"/>
</calcChain>
</file>

<file path=xl/sharedStrings.xml><?xml version="1.0" encoding="utf-8"?>
<sst xmlns="http://schemas.openxmlformats.org/spreadsheetml/2006/main" count="202" uniqueCount="58">
  <si>
    <t>SCAF DE LA FRUITIERE DU VAL DE LOUE</t>
  </si>
  <si>
    <t>Mr Frédéric PONCET</t>
  </si>
  <si>
    <t xml:space="preserve">                         </t>
  </si>
  <si>
    <t xml:space="preserve">39600 GRANGE DE VAIVRE         </t>
  </si>
  <si>
    <t xml:space="preserve">      TB/PB</t>
  </si>
  <si>
    <t>Le 26 juillet 2024</t>
  </si>
  <si>
    <t>Monsieur le Président</t>
  </si>
  <si>
    <t xml:space="preserve">          Conformément à nos conditions d'achat, le décompte de votre</t>
  </si>
  <si>
    <t>lot de fabrication FÉVRIER 2024 s'établit comme suit :</t>
  </si>
  <si>
    <t>A</t>
  </si>
  <si>
    <t>pains</t>
  </si>
  <si>
    <t>T</t>
  </si>
  <si>
    <t>x</t>
  </si>
  <si>
    <t>€/T</t>
  </si>
  <si>
    <t xml:space="preserve"> =</t>
  </si>
  <si>
    <t xml:space="preserve">Soit au kg blanc : </t>
  </si>
  <si>
    <t xml:space="preserve">A déduire N/Acompte du </t>
  </si>
  <si>
    <t>Total Hors Taxes</t>
  </si>
  <si>
    <t>T.V.A</t>
  </si>
  <si>
    <t>5,5</t>
  </si>
  <si>
    <t>%</t>
  </si>
  <si>
    <t>Total Réglé</t>
  </si>
  <si>
    <t xml:space="preserve">          Vous en souhaitant bonne réception</t>
  </si>
  <si>
    <t xml:space="preserve">          Nous vous prions d'agréer, Monsieur le Président, nos</t>
  </si>
  <si>
    <t>salutations distinguées</t>
  </si>
  <si>
    <t>Service Comptabilité</t>
  </si>
  <si>
    <t>PS : Nous virons ce jour, sur votre compte N° 12506 39029 50546581010 11</t>
  </si>
  <si>
    <t>CAFC SALINS LES BAINS   , la somme de</t>
  </si>
  <si>
    <t>SCAF BRESSE JURASSIENNE</t>
  </si>
  <si>
    <t>Mr Benoit COTE</t>
  </si>
  <si>
    <t>3 Pace de la Mairie</t>
  </si>
  <si>
    <t xml:space="preserve">39140  DESNES                  </t>
  </si>
  <si>
    <t>PS : Nous virons ce jour, sur votre compte N° 12506 39023 40357496000 54</t>
  </si>
  <si>
    <t>CAFC POLIGNY            , la somme de</t>
  </si>
  <si>
    <t>COOPERATIVE DES MONTS DE JOUX</t>
  </si>
  <si>
    <t>ATELIER ANDELOT</t>
  </si>
  <si>
    <t>36 Rue Laurent Troutet</t>
  </si>
  <si>
    <t>25560  BANANS</t>
  </si>
  <si>
    <t>Prime qualité:</t>
  </si>
  <si>
    <t>Total</t>
  </si>
  <si>
    <t xml:space="preserve">PS : Nous virons ce jour, sur votre compte N° 0 0               </t>
  </si>
  <si>
    <t xml:space="preserve">                        , la somme de</t>
  </si>
  <si>
    <t>SCAF DE LONGEVELLE</t>
  </si>
  <si>
    <t>Mr Johann DEVAUX</t>
  </si>
  <si>
    <t xml:space="preserve">2, rue du Conot          </t>
  </si>
  <si>
    <t xml:space="preserve">25380  CHARMOILLE              </t>
  </si>
  <si>
    <t>lot de fabrication JANVIER 2024 s'établit comme suit :</t>
  </si>
  <si>
    <t>B</t>
  </si>
  <si>
    <t>PS : Nous virons ce jour, sur votre compte N° 12506 20017 11707951010 37</t>
  </si>
  <si>
    <t>CAFC SANCEY LE GRAND    , la somme de</t>
  </si>
  <si>
    <t>Atelier Gd Combe Chateleu</t>
  </si>
  <si>
    <t xml:space="preserve">25560 BANNANS                  </t>
  </si>
  <si>
    <t>SCAF DE LAVANS VUILLAFANS</t>
  </si>
  <si>
    <t>Mr Joany LEPINE</t>
  </si>
  <si>
    <t>6 Chemin des Clos Ronds</t>
  </si>
  <si>
    <t xml:space="preserve">25380  LAVANS VUILLAFANS       </t>
  </si>
  <si>
    <t>PS : Nous virons ce jour, sur votre compte N° 10807 6 22321737995 58</t>
  </si>
  <si>
    <t>BNP ORNANS              , la somme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</si>
</sst>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\ ##0.000"/>
    <numFmt numFmtId="165" formatCode="#\ ##0.00"/>
    <numFmt numFmtId="166" formatCode="#\ ##0.00\ &quot;€&quot;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0" fontId="1" fillId="0" borderId="1" xfId="0" applyFont="1" applyBorder="1" applyAlignment="1">
      <alignment horizontal="left"/>
    </xf>
    <xf numFmtId="166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14ED-5282-4286-8B69-23BB1A5FEE4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A9B6F-8948-473D-9488-6D9C550E714E}">
  <dimension ref="A8:K51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0</v>
      </c>
    </row>
    <row r="9" spans="1:7" x14ac:dyDescent="0.2">
      <c r="F9" s="1" t="s">
        <v>1</v>
      </c>
    </row>
    <row r="10" spans="1:7" x14ac:dyDescent="0.2">
      <c r="F10" s="1" t="s">
        <v>2</v>
      </c>
    </row>
    <row r="11" spans="1:7" x14ac:dyDescent="0.2">
      <c r="F11" s="1" t="s">
        <v>3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195</v>
      </c>
      <c r="D25" s="1" t="s">
        <v>10</v>
      </c>
      <c r="E25" s="5">
        <v>6.9880000000000004</v>
      </c>
      <c r="F25" s="3" t="s">
        <v>11</v>
      </c>
      <c r="G25" s="2" t="s">
        <v>12</v>
      </c>
      <c r="H25" s="7">
        <v>10370.24</v>
      </c>
      <c r="I25" s="1" t="s">
        <v>13</v>
      </c>
      <c r="J25" s="1" t="s">
        <v>14</v>
      </c>
      <c r="K25" s="8">
        <f>ROUND(+E25*H25, 2)</f>
        <v>72467.240000000005</v>
      </c>
    </row>
    <row r="30" spans="2:11" ht="3.75" customHeight="1" x14ac:dyDescent="0.2"/>
    <row r="31" spans="2:11" x14ac:dyDescent="0.2">
      <c r="B31" s="1" t="s">
        <v>15</v>
      </c>
      <c r="E31" s="6">
        <f>ROUND(+K25/E25,2)</f>
        <v>10370.24</v>
      </c>
      <c r="F31" s="1" t="s">
        <v>13</v>
      </c>
    </row>
    <row r="33" spans="2:11" x14ac:dyDescent="0.2">
      <c r="D33" s="1" t="s">
        <v>16</v>
      </c>
      <c r="K33" s="11">
        <v>-46120.800000000003</v>
      </c>
    </row>
    <row r="34" spans="2:11" ht="3.75" customHeight="1" x14ac:dyDescent="0.2"/>
    <row r="35" spans="2:11" x14ac:dyDescent="0.2">
      <c r="G35" s="1" t="s">
        <v>17</v>
      </c>
      <c r="K35" s="8">
        <f>SUM(K25,K33)</f>
        <v>26346.440000000002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1449.0542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27795.494200000001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26</v>
      </c>
    </row>
    <row r="51" spans="2:8" x14ac:dyDescent="0.2">
      <c r="B51" s="1" t="s">
        <v>27</v>
      </c>
      <c r="H51" s="8">
        <f>+K38</f>
        <v>27795.494200000001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DCB87-7FF9-4176-B05F-773A1096B461}">
  <dimension ref="A8:K51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28</v>
      </c>
    </row>
    <row r="9" spans="1:7" x14ac:dyDescent="0.2">
      <c r="F9" s="1" t="s">
        <v>29</v>
      </c>
    </row>
    <row r="10" spans="1:7" x14ac:dyDescent="0.2">
      <c r="F10" s="1" t="s">
        <v>30</v>
      </c>
    </row>
    <row r="11" spans="1:7" x14ac:dyDescent="0.2">
      <c r="F11" s="1" t="s">
        <v>31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344</v>
      </c>
      <c r="D25" s="1" t="s">
        <v>10</v>
      </c>
      <c r="E25" s="5">
        <v>13.378</v>
      </c>
      <c r="F25" s="3" t="s">
        <v>11</v>
      </c>
      <c r="G25" s="2" t="s">
        <v>12</v>
      </c>
      <c r="H25" s="7">
        <v>8465.5400000000009</v>
      </c>
      <c r="I25" s="1" t="s">
        <v>13</v>
      </c>
      <c r="J25" s="1" t="s">
        <v>14</v>
      </c>
      <c r="K25" s="8">
        <f>ROUND(+E25*H25, 2)</f>
        <v>113251.99</v>
      </c>
    </row>
    <row r="30" spans="2:11" ht="3.75" customHeight="1" x14ac:dyDescent="0.2"/>
    <row r="31" spans="2:11" x14ac:dyDescent="0.2">
      <c r="B31" s="1" t="s">
        <v>15</v>
      </c>
      <c r="E31" s="6">
        <f>ROUND(+K25/E25,2)</f>
        <v>8465.5400000000009</v>
      </c>
      <c r="F31" s="1" t="s">
        <v>13</v>
      </c>
    </row>
    <row r="33" spans="2:11" x14ac:dyDescent="0.2">
      <c r="D33" s="1" t="s">
        <v>16</v>
      </c>
      <c r="K33" s="11">
        <v>-88294.8</v>
      </c>
    </row>
    <row r="34" spans="2:11" ht="3.75" customHeight="1" x14ac:dyDescent="0.2"/>
    <row r="35" spans="2:11" x14ac:dyDescent="0.2">
      <c r="G35" s="1" t="s">
        <v>17</v>
      </c>
      <c r="K35" s="8">
        <f>SUM(K25,K33)</f>
        <v>24957.190000000002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1372.6454500000002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26329.835450000002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32</v>
      </c>
    </row>
    <row r="51" spans="2:8" x14ac:dyDescent="0.2">
      <c r="B51" s="1" t="s">
        <v>33</v>
      </c>
      <c r="H51" s="8">
        <f>+K38</f>
        <v>26329.835450000002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07EE5-8871-4566-BAD8-BFA84C1D94EB}">
  <dimension ref="A8:K51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34</v>
      </c>
    </row>
    <row r="9" spans="1:7" x14ac:dyDescent="0.2">
      <c r="F9" s="1" t="s">
        <v>35</v>
      </c>
    </row>
    <row r="10" spans="1:7" x14ac:dyDescent="0.2">
      <c r="F10" s="1" t="s">
        <v>36</v>
      </c>
    </row>
    <row r="11" spans="1:7" x14ac:dyDescent="0.2">
      <c r="F11" s="1" t="s">
        <v>37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660</v>
      </c>
      <c r="D25" s="1" t="s">
        <v>10</v>
      </c>
      <c r="E25" s="5">
        <v>26.693000000000001</v>
      </c>
      <c r="F25" s="3" t="s">
        <v>11</v>
      </c>
      <c r="G25" s="2" t="s">
        <v>12</v>
      </c>
      <c r="H25" s="7">
        <v>8949.7999999999993</v>
      </c>
      <c r="I25" s="1" t="s">
        <v>13</v>
      </c>
      <c r="J25" s="1" t="s">
        <v>14</v>
      </c>
      <c r="K25" s="8">
        <f>ROUND(+E25*H25, 2)</f>
        <v>238897.01</v>
      </c>
    </row>
    <row r="27" spans="2:11" x14ac:dyDescent="0.2">
      <c r="B27" s="1" t="s">
        <v>38</v>
      </c>
      <c r="E27" s="6">
        <v>26.693000000000001</v>
      </c>
      <c r="F27" s="1" t="s">
        <v>11</v>
      </c>
      <c r="G27" s="2" t="s">
        <v>12</v>
      </c>
      <c r="H27" s="7">
        <f>ROUND(H25*2%, 2)</f>
        <v>179</v>
      </c>
      <c r="I27" s="1" t="s">
        <v>13</v>
      </c>
      <c r="J27" s="1" t="s">
        <v>14</v>
      </c>
      <c r="K27" s="8">
        <f>ROUND(H27*E27, 2)</f>
        <v>4778.05</v>
      </c>
    </row>
    <row r="28" spans="2:11" x14ac:dyDescent="0.2">
      <c r="K28" s="10"/>
    </row>
    <row r="30" spans="2:11" ht="3.75" customHeight="1" x14ac:dyDescent="0.2"/>
    <row r="31" spans="2:11" x14ac:dyDescent="0.2">
      <c r="B31" s="1" t="s">
        <v>15</v>
      </c>
      <c r="E31" s="6">
        <f>ROUND(K31/E25,2)</f>
        <v>9128.7999999999993</v>
      </c>
      <c r="F31" s="1" t="s">
        <v>13</v>
      </c>
      <c r="H31" s="1" t="s">
        <v>39</v>
      </c>
      <c r="K31" s="8">
        <f>SUM(K25:K27)</f>
        <v>243675.06</v>
      </c>
    </row>
    <row r="33" spans="2:11" x14ac:dyDescent="0.2">
      <c r="D33" s="1" t="s">
        <v>16</v>
      </c>
      <c r="K33" s="11">
        <v>-176173.8</v>
      </c>
    </row>
    <row r="34" spans="2:11" ht="3.75" customHeight="1" x14ac:dyDescent="0.2"/>
    <row r="35" spans="2:11" x14ac:dyDescent="0.2">
      <c r="G35" s="1" t="s">
        <v>17</v>
      </c>
      <c r="K35" s="8">
        <f>SUM(K31,K33)</f>
        <v>67501.260000000009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3712.5693000000006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71213.829300000012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40</v>
      </c>
    </row>
    <row r="51" spans="2:8" x14ac:dyDescent="0.2">
      <c r="B51" s="1" t="s">
        <v>41</v>
      </c>
      <c r="H51" s="8">
        <f>+K38</f>
        <v>71213.829300000012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EA6D0-BFCA-434F-B14F-84B5ED3868CC}">
  <dimension ref="A8:K51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42</v>
      </c>
    </row>
    <row r="9" spans="1:7" x14ac:dyDescent="0.2">
      <c r="F9" s="1" t="s">
        <v>43</v>
      </c>
    </row>
    <row r="10" spans="1:7" x14ac:dyDescent="0.2">
      <c r="F10" s="1" t="s">
        <v>44</v>
      </c>
    </row>
    <row r="11" spans="1:7" x14ac:dyDescent="0.2">
      <c r="F11" s="1" t="s">
        <v>45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46</v>
      </c>
    </row>
    <row r="25" spans="2:11" ht="15" x14ac:dyDescent="0.25">
      <c r="B25" s="2" t="s">
        <v>9</v>
      </c>
      <c r="C25" s="4">
        <v>499</v>
      </c>
      <c r="D25" s="1" t="s">
        <v>10</v>
      </c>
      <c r="E25" s="5">
        <v>20.141999999999999</v>
      </c>
      <c r="F25" s="3" t="s">
        <v>11</v>
      </c>
      <c r="G25" s="2" t="s">
        <v>12</v>
      </c>
      <c r="H25" s="7">
        <v>8232.93</v>
      </c>
      <c r="I25" s="1" t="s">
        <v>13</v>
      </c>
      <c r="J25" s="1" t="s">
        <v>14</v>
      </c>
      <c r="K25" s="8">
        <f>ROUND(+E25*H25, 2)</f>
        <v>165827.68</v>
      </c>
    </row>
    <row r="26" spans="2:11" ht="15" x14ac:dyDescent="0.25">
      <c r="B26" s="2" t="s">
        <v>47</v>
      </c>
      <c r="C26" s="12">
        <v>74</v>
      </c>
      <c r="D26" s="1" t="s">
        <v>10</v>
      </c>
      <c r="E26" s="13">
        <v>2.9870000000000001</v>
      </c>
      <c r="F26" s="3" t="s">
        <v>11</v>
      </c>
      <c r="G26" s="2" t="s">
        <v>12</v>
      </c>
      <c r="H26" s="7">
        <v>6995.6</v>
      </c>
      <c r="I26" s="1" t="s">
        <v>13</v>
      </c>
      <c r="J26" s="1" t="s">
        <v>14</v>
      </c>
      <c r="K26" s="11">
        <f>ROUND(+E26*H26, 2)</f>
        <v>20895.86</v>
      </c>
    </row>
    <row r="27" spans="2:11" ht="15" x14ac:dyDescent="0.25">
      <c r="C27" s="4">
        <f>SUM(C25:C26)</f>
        <v>573</v>
      </c>
      <c r="D27" s="1" t="s">
        <v>10</v>
      </c>
      <c r="E27" s="5">
        <f>SUM(E25:E26)</f>
        <v>23.128999999999998</v>
      </c>
      <c r="F27" s="1" t="s">
        <v>11</v>
      </c>
      <c r="K27" s="9">
        <f>SUM(K25:K26)</f>
        <v>186723.53999999998</v>
      </c>
    </row>
    <row r="30" spans="2:11" ht="3.75" customHeight="1" x14ac:dyDescent="0.2"/>
    <row r="31" spans="2:11" x14ac:dyDescent="0.2">
      <c r="B31" s="1" t="s">
        <v>15</v>
      </c>
      <c r="E31" s="6">
        <f>ROUND(K27/E27,2)</f>
        <v>8073.14</v>
      </c>
      <c r="F31" s="1" t="s">
        <v>13</v>
      </c>
    </row>
    <row r="33" spans="2:11" x14ac:dyDescent="0.2">
      <c r="D33" s="1" t="s">
        <v>16</v>
      </c>
      <c r="K33" s="11">
        <v>-152651.4</v>
      </c>
    </row>
    <row r="34" spans="2:11" ht="3.75" customHeight="1" x14ac:dyDescent="0.2"/>
    <row r="35" spans="2:11" x14ac:dyDescent="0.2">
      <c r="G35" s="1" t="s">
        <v>17</v>
      </c>
      <c r="K35" s="8">
        <f>SUM(K27,K33)</f>
        <v>34072.139999999985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1873.967699999999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35946.107699999986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48</v>
      </c>
    </row>
    <row r="51" spans="2:8" x14ac:dyDescent="0.2">
      <c r="B51" s="1" t="s">
        <v>49</v>
      </c>
      <c r="H51" s="8">
        <f>+K38</f>
        <v>35946.107699999986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A2E7E-0D8A-4F17-8AA5-57E76372E6CC}">
  <dimension ref="A8:K51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34</v>
      </c>
    </row>
    <row r="9" spans="1:7" x14ac:dyDescent="0.2">
      <c r="F9" s="1" t="s">
        <v>50</v>
      </c>
    </row>
    <row r="10" spans="1:7" x14ac:dyDescent="0.2">
      <c r="F10" s="1" t="s">
        <v>36</v>
      </c>
    </row>
    <row r="11" spans="1:7" x14ac:dyDescent="0.2">
      <c r="F11" s="1" t="s">
        <v>51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240</v>
      </c>
      <c r="D25" s="1" t="s">
        <v>10</v>
      </c>
      <c r="E25" s="5">
        <v>9.2100000000000009</v>
      </c>
      <c r="F25" s="3" t="s">
        <v>11</v>
      </c>
      <c r="G25" s="2" t="s">
        <v>12</v>
      </c>
      <c r="H25" s="7">
        <v>8949.7999999999993</v>
      </c>
      <c r="I25" s="1" t="s">
        <v>13</v>
      </c>
      <c r="J25" s="1" t="s">
        <v>14</v>
      </c>
      <c r="K25" s="8">
        <f>ROUND(+E25*H25, 2)</f>
        <v>82427.66</v>
      </c>
    </row>
    <row r="27" spans="2:11" x14ac:dyDescent="0.2">
      <c r="B27" s="1" t="s">
        <v>38</v>
      </c>
      <c r="E27" s="6">
        <v>9.2100000000000009</v>
      </c>
      <c r="F27" s="1" t="s">
        <v>11</v>
      </c>
      <c r="G27" s="2" t="s">
        <v>12</v>
      </c>
      <c r="H27" s="7">
        <f>ROUND(H25*2%, 2)</f>
        <v>179</v>
      </c>
      <c r="I27" s="1" t="s">
        <v>13</v>
      </c>
      <c r="J27" s="1" t="s">
        <v>14</v>
      </c>
      <c r="K27" s="8">
        <f>ROUND(H27*E27, 2)</f>
        <v>1648.59</v>
      </c>
    </row>
    <row r="28" spans="2:11" x14ac:dyDescent="0.2">
      <c r="K28" s="10"/>
    </row>
    <row r="30" spans="2:11" ht="3.75" customHeight="1" x14ac:dyDescent="0.2"/>
    <row r="31" spans="2:11" x14ac:dyDescent="0.2">
      <c r="B31" s="1" t="s">
        <v>15</v>
      </c>
      <c r="E31" s="6">
        <f>ROUND(K31/E25,2)</f>
        <v>9128.7999999999993</v>
      </c>
      <c r="F31" s="1" t="s">
        <v>13</v>
      </c>
      <c r="H31" s="1" t="s">
        <v>39</v>
      </c>
      <c r="K31" s="8">
        <f>SUM(K25:K27)</f>
        <v>84076.25</v>
      </c>
    </row>
    <row r="33" spans="2:11" x14ac:dyDescent="0.2">
      <c r="D33" s="1" t="s">
        <v>16</v>
      </c>
      <c r="K33" s="11">
        <v>-60786</v>
      </c>
    </row>
    <row r="34" spans="2:11" ht="3.75" customHeight="1" x14ac:dyDescent="0.2"/>
    <row r="35" spans="2:11" x14ac:dyDescent="0.2">
      <c r="G35" s="1" t="s">
        <v>17</v>
      </c>
      <c r="K35" s="8">
        <f>SUM(K31,K33)</f>
        <v>23290.25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1280.9637499999999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24571.213749999999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40</v>
      </c>
    </row>
    <row r="51" spans="2:8" x14ac:dyDescent="0.2">
      <c r="B51" s="1" t="s">
        <v>41</v>
      </c>
      <c r="H51" s="8">
        <f>+K38</f>
        <v>24571.213749999999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AFED1-6B5B-4958-A8F6-DF01B71A8B23}">
  <dimension ref="A8:K51"/>
  <sheetViews>
    <sheetView tabSelected="1"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52</v>
      </c>
    </row>
    <row r="9" spans="1:7" x14ac:dyDescent="0.2">
      <c r="F9" s="1" t="s">
        <v>53</v>
      </c>
    </row>
    <row r="10" spans="1:7" x14ac:dyDescent="0.2">
      <c r="F10" s="1" t="s">
        <v>54</v>
      </c>
    </row>
    <row r="11" spans="1:7" x14ac:dyDescent="0.2">
      <c r="F11" s="1" t="s">
        <v>55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46</v>
      </c>
    </row>
    <row r="25" spans="2:11" ht="15" x14ac:dyDescent="0.25">
      <c r="B25" s="2" t="s">
        <v>9</v>
      </c>
      <c r="C25" s="4">
        <v>364</v>
      </c>
      <c r="D25" s="1" t="s">
        <v>10</v>
      </c>
      <c r="E25" s="5">
        <v>15.173999999999999</v>
      </c>
      <c r="F25" s="3" t="s">
        <v>11</v>
      </c>
      <c r="G25" s="2" t="s">
        <v>12</v>
      </c>
      <c r="H25" s="7">
        <v>8252.93</v>
      </c>
      <c r="I25" s="1" t="s">
        <v>13</v>
      </c>
      <c r="J25" s="1" t="s">
        <v>14</v>
      </c>
      <c r="K25" s="8">
        <f>ROUND(+E25*H25, 2)</f>
        <v>125229.96</v>
      </c>
    </row>
    <row r="26" spans="2:11" ht="15" x14ac:dyDescent="0.25">
      <c r="B26" s="2" t="s">
        <v>47</v>
      </c>
      <c r="C26" s="12">
        <v>5</v>
      </c>
      <c r="D26" s="1" t="s">
        <v>10</v>
      </c>
      <c r="E26" s="13">
        <v>0.20799999999999999</v>
      </c>
      <c r="F26" s="3" t="s">
        <v>11</v>
      </c>
      <c r="G26" s="2" t="s">
        <v>12</v>
      </c>
      <c r="H26" s="7">
        <v>7065.6</v>
      </c>
      <c r="I26" s="1" t="s">
        <v>13</v>
      </c>
      <c r="J26" s="1" t="s">
        <v>14</v>
      </c>
      <c r="K26" s="11">
        <f>ROUND(+E26*H26, 2)</f>
        <v>1469.64</v>
      </c>
    </row>
    <row r="27" spans="2:11" ht="15" x14ac:dyDescent="0.25">
      <c r="C27" s="4">
        <f>SUM(C25:C26)</f>
        <v>369</v>
      </c>
      <c r="D27" s="1" t="s">
        <v>10</v>
      </c>
      <c r="E27" s="5">
        <f>SUM(E25:E26)</f>
        <v>15.382</v>
      </c>
      <c r="F27" s="1" t="s">
        <v>11</v>
      </c>
      <c r="K27" s="9">
        <f>SUM(K25:K26)</f>
        <v>126699.6</v>
      </c>
    </row>
    <row r="30" spans="2:11" ht="3.75" customHeight="1" x14ac:dyDescent="0.2"/>
    <row r="31" spans="2:11" x14ac:dyDescent="0.2">
      <c r="B31" s="1" t="s">
        <v>15</v>
      </c>
      <c r="E31" s="6">
        <f>ROUND(K27/E27,2)</f>
        <v>8236.8700000000008</v>
      </c>
      <c r="F31" s="1" t="s">
        <v>13</v>
      </c>
    </row>
    <row r="33" spans="2:11" x14ac:dyDescent="0.2">
      <c r="D33" s="1" t="s">
        <v>16</v>
      </c>
      <c r="K33" s="11">
        <v>-101521.2</v>
      </c>
    </row>
    <row r="34" spans="2:11" ht="3.75" customHeight="1" x14ac:dyDescent="0.2"/>
    <row r="35" spans="2:11" x14ac:dyDescent="0.2">
      <c r="G35" s="1" t="s">
        <v>17</v>
      </c>
      <c r="K35" s="8">
        <f>SUM(K27,K33)</f>
        <v>25178.400000000009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1384.8120000000004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26563.21200000001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56</v>
      </c>
    </row>
    <row r="51" spans="2:8" x14ac:dyDescent="0.2">
      <c r="B51" s="1" t="s">
        <v>57</v>
      </c>
      <c r="H51" s="8">
        <f>+K38</f>
        <v>26563.21200000001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Feuil1</vt:lpstr>
      <vt:lpstr>SCAF GRANGE DE VAIVRE    </vt:lpstr>
      <vt:lpstr>SCAF BRESSE JURASSIENNE  </vt:lpstr>
      <vt:lpstr>ANDELOT</vt:lpstr>
      <vt:lpstr>SCAF LONGEVELLE-RUSSEY   </vt:lpstr>
      <vt:lpstr>GD COMBE CHATELEU        </vt:lpstr>
      <vt:lpstr>SCAF LAVANS VUILLAFANS 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steeve guillot</dc:creator>
  <cp:lastModifiedBy>steeve guillot</cp:lastModifiedBy>
  <dcterms:created xsi:type="dcterms:W3CDTF">2024-07-26T12:37:45Z</dcterms:created>
  <dcterms:modified xsi:type="dcterms:W3CDTF">2024-07-26T12:37:56Z</dcterms:modified>
</cp:coreProperties>
</file>