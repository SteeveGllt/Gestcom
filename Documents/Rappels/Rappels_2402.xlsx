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0E2ECCE6-6F36-491F-88A7-E87043FDCF70}" xr6:coauthVersionLast="47" xr6:coauthVersionMax="47" xr10:uidLastSave="{00000000-0000-0000-0000-000000000000}"/>
  <bookViews>
    <workbookView xWindow="2460" yWindow="1695" windowWidth="21600" windowHeight="11295" firstSheet="3" activeTab="5" xr2:uid="{53BE23F8-EDA5-44E1-91B3-628CDB5F539D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6" l="1"/>
  <c r="K35" i="6"/>
  <c r="E31" i="6"/>
  <c r="K27" i="6"/>
  <c r="E27" i="6"/>
  <c r="C27" i="6"/>
  <c r="K26" i="6"/>
  <c r="K25" i="6"/>
  <c r="H51" i="5"/>
  <c r="K35" i="5"/>
  <c r="E31" i="5"/>
  <c r="K27" i="5"/>
  <c r="E27" i="5"/>
  <c r="C27" i="5"/>
  <c r="K26" i="5"/>
  <c r="K25" i="5"/>
  <c r="H51" i="4"/>
  <c r="E31" i="4"/>
  <c r="K35" i="4"/>
  <c r="K31" i="4"/>
  <c r="K27" i="4"/>
  <c r="H27" i="4"/>
  <c r="K25" i="4"/>
  <c r="H51" i="3"/>
  <c r="K35" i="3"/>
  <c r="E31" i="3"/>
  <c r="K25" i="3"/>
  <c r="H51" i="2"/>
  <c r="K35" i="2"/>
  <c r="E31" i="2"/>
  <c r="K25" i="2"/>
  <c r="K36" i="6" l="1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<sst xmlns="http://schemas.openxmlformats.org/spreadsheetml/2006/main" count="167" uniqueCount="56">
  <si>
    <t xml:space="preserve">M PONCET FREDERIC        </t>
  </si>
  <si>
    <t xml:space="preserve">SCAF GRANGE DE VAIVRE    </t>
  </si>
  <si>
    <t xml:space="preserve">                         </t>
  </si>
  <si>
    <t xml:space="preserve">39600 GRANGE DE VAIVRE         </t>
  </si>
  <si>
    <t xml:space="preserve">      TB/PB</t>
  </si>
  <si>
    <t>Le 19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</si>
  <si>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</si>
  <si>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</si>
  <si>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</si>
  <si>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</si>
  <si>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</si>
  <si>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</si>
  <si>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</si>
  <si>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</si>
  <si>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</si>
  <si>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</si>
  <si>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</si>
  <si>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</si>
  <si>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</si>
  <si>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</si>
  <si>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</si>
  <si>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</si>
  <si>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</si>
  <si>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</si>
  <si>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</si>
  <si>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</si>
  <si>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50</t>
  </si>
  <si>
    <t>CAFC SALINS LES BAINS   , la somme de</t>
  </si>
  <si>
    <t xml:space="preserve">M BUATOIS ANTHONY        </t>
  </si>
  <si>
    <t xml:space="preserve">SCAF BRESSE JURASSIENNE  </t>
  </si>
  <si>
    <t xml:space="preserve">3 PLACE DE LA MAIRIE     </t>
  </si>
  <si>
    <t xml:space="preserve">39140  DESNES                  </t>
  </si>
  <si>
    <t>PS : Nous virons ce jour, sur votre compte N° 12506 39023 40357496000 40</t>
  </si>
  <si>
    <t>CAFC POLIGNY            , la somme de</t>
  </si>
  <si>
    <t>ATELIER ANDELOT</t>
  </si>
  <si>
    <t>COOP MONTS DE JOUX</t>
  </si>
  <si>
    <t>36, Rue Laurent TROUTET</t>
  </si>
  <si>
    <t>25560 BANNANS</t>
  </si>
  <si>
    <t>Prime qualité:</t>
  </si>
  <si>
    <t>Total</t>
  </si>
  <si>
    <t xml:space="preserve">PS : Nous virons ce jour, sur votre compte N° 0 0  </t>
  </si>
  <si>
    <t>, la somme de</t>
  </si>
  <si>
    <t xml:space="preserve">Mr DEVAUX JOHANN         </t>
  </si>
  <si>
    <t xml:space="preserve">SCAF LONGEVELLE/RUSSEY   </t>
  </si>
  <si>
    <t xml:space="preserve">2, rue du Conot          </t>
  </si>
  <si>
    <t>25380 CHARMOILLE</t>
  </si>
  <si>
    <t>lot de fabrication JANVIER 2024 s'établit comme suit :</t>
  </si>
  <si>
    <t>B</t>
  </si>
  <si>
    <t>PS : Nous virons ce jour, sur votre compte N° 12506 20017 11707951010 11</t>
  </si>
  <si>
    <t>CAFC SANCEY LE GRAND    , la somme de</t>
  </si>
  <si>
    <t xml:space="preserve">MR JOANY LEPINE          </t>
  </si>
  <si>
    <t xml:space="preserve">SCAF LAVANS VUILLAFANS   </t>
  </si>
  <si>
    <t xml:space="preserve">6, Chemin des Clos Ronds </t>
  </si>
  <si>
    <t xml:space="preserve">25380  LAVANS VUILLAFANS       </t>
  </si>
  <si>
    <t>PS : Nous virons ce jour, sur votre compte N° 10807 6 22321737995 22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</si>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</sst>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166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FEAB-C2FD-4C26-B9E1-A92AA298D873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A5729-2FBE-44A2-8E89-E1B2BF26453A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1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48050-9E85-4AA3-9D94-72F50EAFC8E5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1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05546-719B-47E8-9ABC-8CC7B3BBB03F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7">
        <f>ROUND(H25*2%, 2)</f>
        <v>179</v>
      </c>
      <c r="I27" s="1" t="s">
        <v>13</v>
      </c>
      <c r="J27" s="1" t="s">
        <v>14</v>
      </c>
      <c r="K27" s="8">
        <f>ROUND(H27*E27, 2)</f>
        <v>4778.05</v>
      </c>
    </row>
    <row r="28" spans="2:11" x14ac:dyDescent="0.2">
      <c r="K28" s="10"/>
    </row>
    <row r="30" spans="2:11" ht="3.75" customHeight="1" x14ac:dyDescent="0.2"/>
    <row r="31" spans="2:11" x14ac:dyDescent="0.2">
      <c r="B31" s="1" t="s">
        <v>15</v>
      </c>
      <c r="E31" s="6">
        <f>ROUND(K31/E25,2)</f>
        <v>9128.7999999999993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1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1D4B-D707-4474-8D37-8BB3F1FE9219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1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1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186723.53999999998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10269.794699999999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196993.33469999998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196993.33469999998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E0F3E-4491-4B0C-AAB3-3362DC342DFF}">
  <dimension ref="A8:K51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50</v>
      </c>
    </row>
    <row r="9" spans="1:7" x14ac:dyDescent="0.2">
      <c r="F9" s="1" t="s">
        <v>51</v>
      </c>
    </row>
    <row r="10" spans="1:7" x14ac:dyDescent="0.2">
      <c r="F10" s="1" t="s">
        <v>52</v>
      </c>
    </row>
    <row r="11" spans="1:7" x14ac:dyDescent="0.2">
      <c r="F11" s="1" t="s">
        <v>53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1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1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126699.6</v>
      </c>
    </row>
    <row r="36" spans="2:11" x14ac:dyDescent="0.2">
      <c r="G36" s="1" t="s">
        <v>18</v>
      </c>
      <c r="I36" s="1" t="s">
        <v>19</v>
      </c>
      <c r="J36" s="1" t="s">
        <v>20</v>
      </c>
      <c r="K36" s="11">
        <f>+K35*I36/100</f>
        <v>6968.4780000000001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133668.07800000001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54</v>
      </c>
    </row>
    <row r="51" spans="2:8" x14ac:dyDescent="0.2">
      <c r="B51" s="1" t="s">
        <v>55</v>
      </c>
      <c r="H51" s="8">
        <f>+K38</f>
        <v>133668.07800000001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COOP MONTS DE JOUX</vt:lpstr>
      <vt:lpstr>SCAF LONGEVELLE-RUSSEY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2024-07-19T13:04:35Z</dcterms:created>
  <dcterms:modified xsi:type="dcterms:W3CDTF">2024-07-19T13:04:43Z</dcterms:modified>
</cp:coreProperties>
</file>