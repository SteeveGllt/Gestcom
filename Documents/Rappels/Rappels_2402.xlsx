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342322A9-AE49-49A4-A9C3-A0339F27B8D0}" xr6:coauthVersionLast="47" xr6:coauthVersionMax="47" xr10:uidLastSave="{00000000-0000-0000-0000-000000000000}"/>
  <bookViews>
    <workbookView xWindow="4830" yWindow="990" windowWidth="21600" windowHeight="11295" firstSheet="3" activeTab="5" xr2:uid="{1B2651C3-EE09-40CE-BAC6-B64761F211A4}"/>
  </bookViews>
  <sheets>
    <sheet name="Feuil1" sheetId="1" r:id="rId1"/>
    <sheet name="SCAF GRANGE DE VAIVRE    " sheetId="2" r:id="rId2"/>
    <sheet name="SCAF BRESSE JURASSIENNE  " sheetId="3" r:id="rId3"/>
    <sheet name="COOP MONTS DE JOUX" sheetId="4" r:id="rId4"/>
    <sheet name="SCAF LONGEVELLE-RUSSEY   " sheetId="5" r:id="rId5"/>
    <sheet name="SCAF LAVANS VUILLAFANS   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6" l="1"/>
  <c r="K27" i="6"/>
  <c r="E27" i="6"/>
  <c r="C27" i="6"/>
  <c r="K25" i="6"/>
  <c r="K38" i="5"/>
  <c r="K27" i="5"/>
  <c r="E27" i="5"/>
  <c r="C27" i="5"/>
  <c r="K25" i="5"/>
  <c r="K38" i="4"/>
  <c r="K25" i="4"/>
  <c r="K38" i="3"/>
  <c r="K25" i="3"/>
  <c r="K38" i="2"/>
  <c r="K25" i="2"/>
</calcChain>
</file>

<file path=xl/sharedStrings.xml><?xml version="1.0" encoding="utf-8"?>
<sst xmlns="http://schemas.openxmlformats.org/spreadsheetml/2006/main" count="161" uniqueCount="54">
  <si>
    <t xml:space="preserve">M PONCET FREDERIC        </t>
  </si>
  <si>
    <t xml:space="preserve">SCAF GRANGE DE VAIVRE    </t>
  </si>
  <si>
    <t xml:space="preserve">                         </t>
  </si>
  <si>
    <t xml:space="preserve">39600 GRANGE DE VAIVRE         </t>
  </si>
  <si>
    <t xml:space="preserve">      TB/PB</t>
  </si>
  <si>
    <t>Le 16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</si>
  <si>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</si>
  <si>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</si>
  <si>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</si>
  <si>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</si>
  <si>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</si>
  <si>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</si>
  <si>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</si>
  <si>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</si>
  <si>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</si>
  <si>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</si>
  <si>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</si>
  <si>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</si>
  <si>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</si>
  <si>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</si>
  <si>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</si>
  <si>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</si>
  <si>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</si>
  <si>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</si>
  <si>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</si>
  <si>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</si>
  <si>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50</t>
  </si>
  <si>
    <t>CAFC SALINS LES BAINS   , la somme de</t>
  </si>
  <si>
    <t xml:space="preserve">M BUATOIS ANTHONY        </t>
  </si>
  <si>
    <t xml:space="preserve">SCAF BRESSE JURASSIENNE  </t>
  </si>
  <si>
    <t xml:space="preserve">3 PLACE DE LA MAIRIE     </t>
  </si>
  <si>
    <t xml:space="preserve">39140  DESNES                  </t>
  </si>
  <si>
    <t>PS : Nous virons ce jour, sur votre compte N° 12506 39023 40357496000 40</t>
  </si>
  <si>
    <t>CAFC POLIGNY            , la somme de</t>
  </si>
  <si>
    <t>ATELIER ANDELOT</t>
  </si>
  <si>
    <t>COOP MONTS DE JOUX</t>
  </si>
  <si>
    <t>36, Rue Laurent TROUTET</t>
  </si>
  <si>
    <t>25560 BANNANS</t>
  </si>
  <si>
    <t xml:space="preserve">PS : Nous virons ce jour, sur votre compte N° 0 0  </t>
  </si>
  <si>
    <t>, la somme de</t>
  </si>
  <si>
    <t xml:space="preserve">Mr DEVAUX JOHANN         </t>
  </si>
  <si>
    <t xml:space="preserve">SCAF LONGEVELLE/RUSSEY   </t>
  </si>
  <si>
    <t xml:space="preserve">2, rue du Conot          </t>
  </si>
  <si>
    <t>25380 CHARMOILLE</t>
  </si>
  <si>
    <t>lot de fabrication JANVIER 2024 s'établit comme suit :</t>
  </si>
  <si>
    <t>B</t>
  </si>
  <si>
    <t>PS : Nous virons ce jour, sur votre compte N° 12506 20017 11707951010 11</t>
  </si>
  <si>
    <t>CAFC SANCEY LE GRAND    , la somme de</t>
  </si>
  <si>
    <t xml:space="preserve">MR JOANY LEPINE          </t>
  </si>
  <si>
    <t xml:space="preserve">SCAF LAVANS VUILLAFANS   </t>
  </si>
  <si>
    <t xml:space="preserve">6, Chemin des Clos Ronds </t>
  </si>
  <si>
    <t xml:space="preserve">25380  LAVANS VUILLAFANS       </t>
  </si>
  <si>
    <t>PS : Nous virons ce jour, sur votre compte N° 10807 6 22321737995 22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</si>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</sst>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\ ##0.000&quot;€&quot;"/>
    <numFmt numFmtId="165" formatCode="#\ ##0.00"/>
    <numFmt numFmtId="166" formatCode="#\ ##0.00&quot;€&quot;"/>
    <numFmt numFmtId="167" formatCode="\-#\ ##0.00&quot;€&quot;"/>
    <numFmt numFmtId="168" formatCode="#\ ##0.000"/>
    <numFmt numFmtId="169" formatCode="#\ ##0.00,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right"/>
    </xf>
    <xf numFmtId="167" fontId="1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169" fontId="1" fillId="0" borderId="0" xfId="0" applyNumberFormat="1" applyFont="1" applyAlignment="1">
      <alignment horizontal="right"/>
    </xf>
    <xf numFmtId="0" fontId="2" fillId="0" borderId="1" xfId="0" applyFont="1" applyBorder="1" applyAlignment="1">
      <alignment horizontal="right"/>
    </xf>
    <xf numFmtId="168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F077-C5DA-4811-9F47-4605AA88DC5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8322-E7B5-4B9A-B18E-A8283B8D4DFA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v>10370.24</v>
      </c>
      <c r="F31" s="1" t="s">
        <v>13</v>
      </c>
    </row>
    <row r="33" spans="2:11" x14ac:dyDescent="0.2">
      <c r="D33" s="1" t="s">
        <v>16</v>
      </c>
      <c r="K33" s="11">
        <v>46120800</v>
      </c>
    </row>
    <row r="34" spans="2:11" ht="3.75" customHeight="1" x14ac:dyDescent="0.2"/>
    <row r="35" spans="2:11" x14ac:dyDescent="0.2">
      <c r="G35" s="1" t="s">
        <v>17</v>
      </c>
      <c r="K35" s="8">
        <v>26346437.120000001</v>
      </c>
    </row>
    <row r="36" spans="2:11" x14ac:dyDescent="0.2">
      <c r="G36" s="1" t="s">
        <v>18</v>
      </c>
      <c r="I36" s="1" t="s">
        <v>19</v>
      </c>
      <c r="J36" s="1" t="s">
        <v>20</v>
      </c>
      <c r="K36" s="12">
        <v>1449054.04</v>
      </c>
    </row>
    <row r="37" spans="2:11" ht="3.75" customHeight="1" x14ac:dyDescent="0.2"/>
    <row r="38" spans="2:11" ht="15" x14ac:dyDescent="0.25">
      <c r="G38" s="3" t="s">
        <v>21</v>
      </c>
      <c r="K38" s="10">
        <f>ROUND(SUM(K35:K36), 2)</f>
        <v>27795491.16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9">
        <v>27795491.16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1989D-470B-47DD-A8CA-68121C526CF2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v>8465.5400000000009</v>
      </c>
      <c r="F31" s="1" t="s">
        <v>13</v>
      </c>
    </row>
    <row r="33" spans="2:11" x14ac:dyDescent="0.2">
      <c r="D33" s="1" t="s">
        <v>16</v>
      </c>
      <c r="K33" s="11">
        <v>88294800</v>
      </c>
    </row>
    <row r="34" spans="2:11" ht="3.75" customHeight="1" x14ac:dyDescent="0.2"/>
    <row r="35" spans="2:11" x14ac:dyDescent="0.2">
      <c r="G35" s="1" t="s">
        <v>17</v>
      </c>
      <c r="K35" s="8">
        <v>24957194.120000001</v>
      </c>
    </row>
    <row r="36" spans="2:11" x14ac:dyDescent="0.2">
      <c r="G36" s="1" t="s">
        <v>18</v>
      </c>
      <c r="I36" s="1" t="s">
        <v>19</v>
      </c>
      <c r="J36" s="1" t="s">
        <v>20</v>
      </c>
      <c r="K36" s="12">
        <v>1372645.68</v>
      </c>
    </row>
    <row r="37" spans="2:11" ht="3.75" customHeight="1" x14ac:dyDescent="0.2"/>
    <row r="38" spans="2:11" ht="15" x14ac:dyDescent="0.25">
      <c r="G38" s="3" t="s">
        <v>21</v>
      </c>
      <c r="K38" s="10">
        <f>ROUND(SUM(K35:K36), 2)</f>
        <v>26329839.800000001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9">
        <v>26329839.800000001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29416-6BED-46B4-A511-1BB7B0C65090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30" spans="2:11" ht="3.75" customHeight="1" x14ac:dyDescent="0.2"/>
    <row r="31" spans="2:11" x14ac:dyDescent="0.2">
      <c r="B31" s="1" t="s">
        <v>15</v>
      </c>
      <c r="E31" s="6">
        <v>8949.7999999999993</v>
      </c>
      <c r="F31" s="1" t="s">
        <v>13</v>
      </c>
    </row>
    <row r="33" spans="2:11" x14ac:dyDescent="0.2">
      <c r="D33" s="1" t="s">
        <v>16</v>
      </c>
      <c r="K33" s="11">
        <v>176173800</v>
      </c>
    </row>
    <row r="34" spans="2:11" ht="3.75" customHeight="1" x14ac:dyDescent="0.2"/>
    <row r="35" spans="2:11" x14ac:dyDescent="0.2">
      <c r="G35" s="1" t="s">
        <v>17</v>
      </c>
      <c r="K35" s="8">
        <v>62723211.399999999</v>
      </c>
    </row>
    <row r="36" spans="2:11" x14ac:dyDescent="0.2">
      <c r="G36" s="1" t="s">
        <v>18</v>
      </c>
      <c r="I36" s="1" t="s">
        <v>19</v>
      </c>
      <c r="J36" s="1" t="s">
        <v>20</v>
      </c>
      <c r="K36" s="12">
        <v>3449776.63</v>
      </c>
    </row>
    <row r="37" spans="2:11" ht="3.75" customHeight="1" x14ac:dyDescent="0.2"/>
    <row r="38" spans="2:11" ht="15" x14ac:dyDescent="0.25">
      <c r="G38" s="3" t="s">
        <v>21</v>
      </c>
      <c r="K38" s="10">
        <f>ROUND(SUM(K35:K36), 2)</f>
        <v>66172988.030000001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38</v>
      </c>
    </row>
    <row r="51" spans="2:8" x14ac:dyDescent="0.2">
      <c r="B51" s="1" t="s">
        <v>39</v>
      </c>
      <c r="H51" s="9">
        <v>66172988.030000001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910F-B509-4788-AA81-C8240B2A28A8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40</v>
      </c>
    </row>
    <row r="9" spans="1:7" x14ac:dyDescent="0.2">
      <c r="F9" s="1" t="s">
        <v>41</v>
      </c>
    </row>
    <row r="10" spans="1:7" x14ac:dyDescent="0.2">
      <c r="F10" s="1" t="s">
        <v>42</v>
      </c>
    </row>
    <row r="11" spans="1:7" x14ac:dyDescent="0.2">
      <c r="F11" s="1" t="s">
        <v>43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44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45</v>
      </c>
      <c r="C26" s="14">
        <v>74</v>
      </c>
      <c r="D26" s="1" t="s">
        <v>10</v>
      </c>
      <c r="E26" s="15">
        <v>2.9870000000000001</v>
      </c>
      <c r="F26" s="3" t="s">
        <v>11</v>
      </c>
      <c r="G26" s="2" t="s">
        <v>12</v>
      </c>
      <c r="H26" s="13">
        <v>6995600</v>
      </c>
      <c r="I26" s="1" t="s">
        <v>13</v>
      </c>
      <c r="J26" s="1" t="s">
        <v>14</v>
      </c>
      <c r="K26" s="12">
        <v>20895796.16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10">
        <f>SUM(K25:K26)</f>
        <v>21061623.84</v>
      </c>
    </row>
    <row r="30" spans="2:11" ht="3.75" customHeight="1" x14ac:dyDescent="0.2"/>
    <row r="31" spans="2:11" x14ac:dyDescent="0.2">
      <c r="B31" s="1" t="s">
        <v>15</v>
      </c>
      <c r="E31" s="6">
        <v>910615.41</v>
      </c>
      <c r="F31" s="1" t="s">
        <v>13</v>
      </c>
    </row>
    <row r="33" spans="2:11" x14ac:dyDescent="0.2">
      <c r="D33" s="1" t="s">
        <v>16</v>
      </c>
      <c r="K33" s="11">
        <v>0</v>
      </c>
    </row>
    <row r="34" spans="2:11" ht="3.75" customHeight="1" x14ac:dyDescent="0.2"/>
    <row r="35" spans="2:11" x14ac:dyDescent="0.2">
      <c r="G35" s="1" t="s">
        <v>17</v>
      </c>
      <c r="K35" s="8">
        <v>21061623.84</v>
      </c>
    </row>
    <row r="36" spans="2:11" x14ac:dyDescent="0.2">
      <c r="G36" s="1" t="s">
        <v>18</v>
      </c>
      <c r="I36" s="1" t="s">
        <v>19</v>
      </c>
      <c r="J36" s="1" t="s">
        <v>20</v>
      </c>
      <c r="K36" s="12">
        <v>1158389.31</v>
      </c>
    </row>
    <row r="37" spans="2:11" ht="3.75" customHeight="1" x14ac:dyDescent="0.2"/>
    <row r="38" spans="2:11" ht="15" x14ac:dyDescent="0.25">
      <c r="G38" s="3" t="s">
        <v>21</v>
      </c>
      <c r="K38" s="10">
        <f>ROUND(SUM(K35:K36), 2)</f>
        <v>22220013.149999999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46</v>
      </c>
    </row>
    <row r="51" spans="2:8" x14ac:dyDescent="0.2">
      <c r="B51" s="1" t="s">
        <v>47</v>
      </c>
      <c r="H51" s="9">
        <v>22220013.149999999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2643-B00B-47D2-B482-A3AA5D7B7C71}">
  <dimension ref="A8:K51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48</v>
      </c>
    </row>
    <row r="9" spans="1:7" x14ac:dyDescent="0.2">
      <c r="F9" s="1" t="s">
        <v>49</v>
      </c>
    </row>
    <row r="10" spans="1:7" x14ac:dyDescent="0.2">
      <c r="F10" s="1" t="s">
        <v>50</v>
      </c>
    </row>
    <row r="11" spans="1:7" x14ac:dyDescent="0.2">
      <c r="F11" s="1" t="s">
        <v>51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44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45</v>
      </c>
      <c r="C26" s="14">
        <v>5</v>
      </c>
      <c r="D26" s="1" t="s">
        <v>10</v>
      </c>
      <c r="E26" s="15">
        <v>0.20799999999999999</v>
      </c>
      <c r="F26" s="3" t="s">
        <v>11</v>
      </c>
      <c r="G26" s="2" t="s">
        <v>12</v>
      </c>
      <c r="H26" s="13">
        <v>7065600</v>
      </c>
      <c r="I26" s="1" t="s">
        <v>13</v>
      </c>
      <c r="J26" s="1" t="s">
        <v>14</v>
      </c>
      <c r="K26" s="12">
        <v>1472670.18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10">
        <f>SUM(K25:K26)</f>
        <v>1597900.14</v>
      </c>
    </row>
    <row r="30" spans="2:11" ht="3.75" customHeight="1" x14ac:dyDescent="0.2"/>
    <row r="31" spans="2:11" x14ac:dyDescent="0.2">
      <c r="B31" s="1" t="s">
        <v>15</v>
      </c>
      <c r="E31" s="6">
        <v>103881.17</v>
      </c>
      <c r="F31" s="1" t="s">
        <v>13</v>
      </c>
    </row>
    <row r="33" spans="2:11" x14ac:dyDescent="0.2">
      <c r="D33" s="1" t="s">
        <v>16</v>
      </c>
      <c r="K33" s="11">
        <v>0</v>
      </c>
    </row>
    <row r="34" spans="2:11" ht="3.75" customHeight="1" x14ac:dyDescent="0.2"/>
    <row r="35" spans="2:11" x14ac:dyDescent="0.2">
      <c r="G35" s="1" t="s">
        <v>17</v>
      </c>
      <c r="K35" s="8">
        <v>1597900.14</v>
      </c>
    </row>
    <row r="36" spans="2:11" x14ac:dyDescent="0.2">
      <c r="G36" s="1" t="s">
        <v>18</v>
      </c>
      <c r="I36" s="1" t="s">
        <v>19</v>
      </c>
      <c r="J36" s="1" t="s">
        <v>20</v>
      </c>
      <c r="K36" s="12">
        <v>87884.51</v>
      </c>
    </row>
    <row r="37" spans="2:11" ht="3.75" customHeight="1" x14ac:dyDescent="0.2"/>
    <row r="38" spans="2:11" ht="15" x14ac:dyDescent="0.25">
      <c r="G38" s="3" t="s">
        <v>21</v>
      </c>
      <c r="K38" s="10">
        <f>ROUND(SUM(K35:K36), 2)</f>
        <v>1685784.65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52</v>
      </c>
    </row>
    <row r="51" spans="2:8" x14ac:dyDescent="0.2">
      <c r="B51" s="1" t="s">
        <v>53</v>
      </c>
      <c r="H51" s="9">
        <v>1685784.65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SCAF GRANGE DE VAIVRE    </vt:lpstr>
      <vt:lpstr>SCAF BRESSE JURASSIENNE  </vt:lpstr>
      <vt:lpstr>COOP MONTS DE JOUX</vt:lpstr>
      <vt:lpstr>SCAF LONGEVELLE-RUSSEY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2024-07-16T08:24:03Z</dcterms:created>
  <dcterms:modified xsi:type="dcterms:W3CDTF">2024-07-16T08:24:08Z</dcterms:modified>
</cp:coreProperties>
</file>