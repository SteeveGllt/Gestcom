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ssier Dev\Informatique\Gestcom\Documents\Rappels\"/>
    </mc:Choice>
  </mc:AlternateContent>
  <xr:revisionPtr revIDLastSave="0" documentId="8_{C5C26B03-3CD4-45A9-89FD-47EB28AC8300}" xr6:coauthVersionLast="47" xr6:coauthVersionMax="47" xr10:uidLastSave="{00000000-0000-0000-0000-000000000000}"/>
  <bookViews>
    <workbookView xWindow="-24390" yWindow="2685" windowWidth="21600" windowHeight="11295" firstSheet="4" activeTab="6" xr2:uid="{6EC8B22B-5BAE-4485-BCBA-47CCC3483717}"/>
  </bookViews>
  <sheets>
    <sheet name="Feuil1" sheetId="1" r:id="rId1"/>
    <sheet name="SCAF GRANGE DE VAIVRE    " sheetId="2" r:id="rId2"/>
    <sheet name="SCAF BRESSE JURASSIENNE  " sheetId="3" r:id="rId3"/>
    <sheet name="ANDELOT" sheetId="4" r:id="rId4"/>
    <sheet name="SCAF LONGEVELLE-RUSSEY   " sheetId="5" r:id="rId5"/>
    <sheet name="GD COMBE CHATELEU        " sheetId="6" r:id="rId6"/>
    <sheet name="SCAF LAVANS VUILLAFANS   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1" i="7" l="1"/>
  <c r="K35" i="7"/>
  <c r="E31" i="7"/>
  <c r="K27" i="7"/>
  <c r="E27" i="7"/>
  <c r="C27" i="7"/>
  <c r="K26" i="7"/>
  <c r="K25" i="7"/>
  <c r="H51" i="6"/>
  <c r="E31" i="6"/>
  <c r="K35" i="6"/>
  <c r="K31" i="6"/>
  <c r="K27" i="6"/>
  <c r="H27" i="6"/>
  <c r="K25" i="6"/>
  <c r="H51" i="5"/>
  <c r="K35" i="5"/>
  <c r="E31" i="5"/>
  <c r="K27" i="5"/>
  <c r="E27" i="5"/>
  <c r="C27" i="5"/>
  <c r="K26" i="5"/>
  <c r="K25" i="5"/>
  <c r="H51" i="4"/>
  <c r="E31" i="4"/>
  <c r="K35" i="4"/>
  <c r="K31" i="4"/>
  <c r="K27" i="4"/>
  <c r="H27" i="4"/>
  <c r="K25" i="4"/>
  <c r="H46" i="3"/>
  <c r="K31" i="3"/>
  <c r="E28" i="3"/>
  <c r="K25" i="3"/>
  <c r="H46" i="2"/>
  <c r="K31" i="2"/>
  <c r="E28" i="2"/>
  <c r="K25" i="2"/>
  <c r="K36" i="7" l="1"/>
  <c r="K38" i="7" s="1"/>
  <c r="K36" i="6"/>
  <c r="K38" i="6" s="1"/>
  <c r="K36" i="5"/>
  <c r="K38" i="5" s="1"/>
  <c r="K36" i="4"/>
  <c r="K38" i="4" s="1"/>
  <c r="K32" i="3"/>
  <c r="K33" i="3" s="1"/>
  <c r="K32" i="2"/>
  <c r="K33" i="2" s="1"/>
</calcChain>
</file>

<file path=xl/sharedStrings.xml><?xml version="1.0" encoding="utf-8"?>
<sst xmlns="http://schemas.openxmlformats.org/spreadsheetml/2006/main" count="202" uniqueCount="59">
  <si>
    <t>SCAF DE LA FRUITIERE DU VAL DE LOUE</t>
  </si>
  <si>
    <t>Mr Frédéric PONCET</t>
  </si>
  <si>
    <t xml:space="preserve">                         </t>
  </si>
  <si>
    <t xml:space="preserve">39600 GRANGE DE VAIVRE         </t>
  </si>
  <si>
    <t xml:space="preserve">      TB/PB</t>
  </si>
  <si>
    <t>Le 20 Juillet 2024</t>
  </si>
  <si>
    <t>Monsieur le Président</t>
  </si>
  <si>
    <t xml:space="preserve">          Conformément à nos conditions d'achat, le décompte de votre</t>
  </si>
  <si>
    <r>
      <t xml:space="preserve">lot de fabrication </t>
    </r>
    <r>
      <rPr>
        <b/>
        <sz val="11"/>
        <color theme="1"/>
        <rFont val="Arial"/>
        <family val="2"/>
      </rPr>
      <t>FÉVRIER 2024</t>
    </r>
    <r>
      <rPr>
        <sz val="11"/>
        <color theme="1"/>
        <rFont val="Arial"/>
        <family val="2"/>
      </rPr>
      <t xml:space="preserve"> s'établit comme suit :</t>
    </r>
  </si>
  <si>
    <t>A</t>
  </si>
  <si>
    <t>pains</t>
  </si>
  <si>
    <t>T</t>
  </si>
  <si>
    <t>x</t>
  </si>
  <si>
    <t>€/T</t>
  </si>
  <si>
    <t xml:space="preserve"> =</t>
  </si>
  <si>
    <t xml:space="preserve">Soit au kg blanc : </t>
  </si>
  <si>
    <t xml:space="preserve">A déduire N/Acompte du </t>
  </si>
  <si>
    <t>Total Hors Taxes</t>
  </si>
  <si>
    <t>T.V.A</t>
  </si>
  <si>
    <t>5,5</t>
  </si>
  <si>
    <t>%</t>
  </si>
  <si>
    <t>Total Réglé</t>
  </si>
  <si>
    <t xml:space="preserve">          Vous en souhaitant bonne réception</t>
  </si>
  <si>
    <t xml:space="preserve">          Nous vous prions d'agréer, Monsieur le Président, nos</t>
  </si>
  <si>
    <t>salutations distinguées</t>
  </si>
  <si>
    <t>Service Comptabilité</t>
  </si>
  <si>
    <t>PS : Nous virons ce jour, sur votre compte N° 12506 39029 50546581010 11</t>
  </si>
  <si>
    <t>CAFC SALINS LES BAINS   , la somme de</t>
  </si>
  <si>
    <t>SCAF BRESSE JURASSIENNE</t>
  </si>
  <si>
    <t>Mr Benoit COTE</t>
  </si>
  <si>
    <t>3 Pace de la Mairie</t>
  </si>
  <si>
    <t xml:space="preserve">39140  DESNES                  </t>
  </si>
  <si>
    <t>PS : Nous virons ce jour, sur votre compte N° 12506 39023 40357496000 54</t>
  </si>
  <si>
    <t>CAFC POLIGNY            , la somme de</t>
  </si>
  <si>
    <t>COOPERATIVE DES MONTS DE JOUX</t>
  </si>
  <si>
    <t>ATELIER ANDELOT</t>
  </si>
  <si>
    <t>36 Rue Laurent Troutet</t>
  </si>
  <si>
    <t>25560  BANANS</t>
  </si>
  <si>
    <t>Prime qualité:</t>
  </si>
  <si>
    <t>Total</t>
  </si>
  <si>
    <t xml:space="preserve">PS : Nous virons ce jour, sur votre compte N° 0 0               </t>
  </si>
  <si>
    <t xml:space="preserve">                        , la somme de</t>
  </si>
  <si>
    <t>LONGEVELLE LES RUSSEY</t>
  </si>
  <si>
    <t>Mr Johann DEVAUX</t>
  </si>
  <si>
    <t xml:space="preserve">2, rue du Conot          </t>
  </si>
  <si>
    <t xml:space="preserve">25380  CHARMOILLE              </t>
  </si>
  <si>
    <t>Le 08 Juillet 2024</t>
  </si>
  <si>
    <r>
      <t xml:space="preserve">lot de fabrication </t>
    </r>
    <r>
      <rPr>
        <b/>
        <sz val="11"/>
        <color theme="1"/>
        <rFont val="Arial"/>
        <family val="2"/>
      </rPr>
      <t>JANVIER 2024</t>
    </r>
    <r>
      <rPr>
        <sz val="11"/>
        <color theme="1"/>
        <rFont val="Arial"/>
        <family val="2"/>
      </rPr>
      <t xml:space="preserve"> s'établit comme suit :</t>
    </r>
  </si>
  <si>
    <t>B</t>
  </si>
  <si>
    <t>PS : Nous virons ce jour, sur votre compte N° 12506 20017 11707951010 37</t>
  </si>
  <si>
    <t>CAFC SANCEY LE GRAND    , la somme de</t>
  </si>
  <si>
    <t>Atelier Gd Combe Chateleu</t>
  </si>
  <si>
    <t xml:space="preserve">25560 BANNANS                  </t>
  </si>
  <si>
    <t>SCAF DE LAVANS VUILLAFANS</t>
  </si>
  <si>
    <t>Mr Joany LEPINE</t>
  </si>
  <si>
    <t>6 Chemin des Clos Ronds</t>
  </si>
  <si>
    <t xml:space="preserve">25380  LAVANS VUILLAFANS       </t>
  </si>
  <si>
    <t>PS : Nous virons ce jour, sur votre compte N° 10807 6 22321737995 58</t>
  </si>
  <si>
    <t>BNP ORNANS              , la somme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</si>
</sst>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0"/>
    <numFmt numFmtId="165" formatCode="#\ ##0.00"/>
    <numFmt numFmtId="166" formatCode="#\ ##0.00\ &quot;€&quot;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5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0" fontId="1" fillId="0" borderId="1" xfId="0" applyFont="1" applyBorder="1" applyAlignment="1">
      <alignment horizontal="left"/>
    </xf>
    <xf numFmtId="166" fontId="1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5830E-5F36-439E-8AE4-5B159118BDAD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8CE7C-FFC5-4F88-9AE9-4B1C5B61E3BA}">
  <dimension ref="A8:K46"/>
  <sheetViews>
    <sheetView workbookViewId="0"/>
  </sheetViews>
  <sheetFormatPr baseColWidth="10" defaultRowHeight="14.25" x14ac:dyDescent="0.2"/>
  <cols>
    <col min="1" max="1" width="11.7109375" style="1" customWidth="1"/>
    <col min="2" max="2" width="4.28515625" style="1" customWidth="1"/>
    <col min="3" max="3" width="6.7109375" style="1" customWidth="1"/>
    <col min="4" max="4" width="7.5703125" style="1" customWidth="1"/>
    <col min="5" max="5" width="11.85546875" style="1" customWidth="1"/>
    <col min="6" max="6" width="4.28515625" style="1" customWidth="1"/>
    <col min="7" max="7" width="3.140625" style="1" customWidth="1"/>
    <col min="8" max="8" width="13" style="1" customWidth="1"/>
    <col min="9" max="9" width="5.140625" style="1" customWidth="1"/>
    <col min="10" max="10" width="3.28515625" style="1" customWidth="1"/>
    <col min="11" max="11" width="13.7109375" style="1" customWidth="1"/>
    <col min="12" max="16384" width="11.42578125" style="1"/>
  </cols>
  <sheetData>
    <row r="8" spans="1:7" x14ac:dyDescent="0.2">
      <c r="F8" s="1" t="s">
        <v>0</v>
      </c>
    </row>
    <row r="9" spans="1:7" x14ac:dyDescent="0.2">
      <c r="F9" s="1" t="s">
        <v>1</v>
      </c>
    </row>
    <row r="10" spans="1:7" x14ac:dyDescent="0.2">
      <c r="F10" s="1" t="s">
        <v>2</v>
      </c>
    </row>
    <row r="11" spans="1:7" x14ac:dyDescent="0.2">
      <c r="F11" s="1" t="s">
        <v>3</v>
      </c>
    </row>
    <row r="16" spans="1:7" x14ac:dyDescent="0.2">
      <c r="A16" s="1" t="s">
        <v>4</v>
      </c>
      <c r="G16" s="1" t="s">
        <v>5</v>
      </c>
    </row>
    <row r="20" spans="2:11" x14ac:dyDescent="0.2">
      <c r="B20" s="1" t="s">
        <v>6</v>
      </c>
    </row>
    <row r="22" spans="2:11" x14ac:dyDescent="0.2">
      <c r="B22" s="1" t="s">
        <v>7</v>
      </c>
    </row>
    <row r="23" spans="2:11" ht="15" x14ac:dyDescent="0.25">
      <c r="B23" s="1" t="s">
        <v>8</v>
      </c>
    </row>
    <row r="25" spans="2:11" ht="15" x14ac:dyDescent="0.25">
      <c r="B25" s="2" t="s">
        <v>9</v>
      </c>
      <c r="C25" s="4">
        <v>195</v>
      </c>
      <c r="D25" s="1" t="s">
        <v>10</v>
      </c>
      <c r="E25" s="5">
        <v>6.9880000000000004</v>
      </c>
      <c r="F25" s="3" t="s">
        <v>11</v>
      </c>
      <c r="G25" s="2" t="s">
        <v>12</v>
      </c>
      <c r="H25" s="7">
        <v>10370.24</v>
      </c>
      <c r="I25" s="1" t="s">
        <v>13</v>
      </c>
      <c r="J25" s="1" t="s">
        <v>14</v>
      </c>
      <c r="K25" s="8">
        <f>ROUND(+E25*H25, 2)</f>
        <v>72467.240000000005</v>
      </c>
    </row>
    <row r="28" spans="2:11" x14ac:dyDescent="0.2">
      <c r="B28" s="1" t="s">
        <v>15</v>
      </c>
      <c r="E28" s="6">
        <f>ROUND(+K25/E25,2)</f>
        <v>10370.24</v>
      </c>
      <c r="F28" s="1" t="s">
        <v>13</v>
      </c>
    </row>
    <row r="30" spans="2:11" x14ac:dyDescent="0.2">
      <c r="D30" s="1" t="s">
        <v>16</v>
      </c>
      <c r="K30" s="11">
        <v>-46120.800000000003</v>
      </c>
    </row>
    <row r="31" spans="2:11" x14ac:dyDescent="0.2">
      <c r="G31" s="1" t="s">
        <v>17</v>
      </c>
      <c r="K31" s="8">
        <f>SUM(K25,K30)</f>
        <v>26346.440000000002</v>
      </c>
    </row>
    <row r="32" spans="2:11" x14ac:dyDescent="0.2">
      <c r="G32" s="1" t="s">
        <v>18</v>
      </c>
      <c r="I32" s="1" t="s">
        <v>19</v>
      </c>
      <c r="J32" s="1" t="s">
        <v>20</v>
      </c>
      <c r="K32" s="11">
        <f>+K31*I32/100</f>
        <v>1449.0542</v>
      </c>
    </row>
    <row r="33" spans="2:11" ht="15" x14ac:dyDescent="0.25">
      <c r="G33" s="3" t="s">
        <v>21</v>
      </c>
      <c r="K33" s="9">
        <f>SUM(K31:K32)</f>
        <v>27795.494200000001</v>
      </c>
    </row>
    <row r="35" spans="2:11" x14ac:dyDescent="0.2">
      <c r="B35" s="1" t="s">
        <v>22</v>
      </c>
    </row>
    <row r="37" spans="2:11" x14ac:dyDescent="0.2">
      <c r="B37" s="1" t="s">
        <v>23</v>
      </c>
    </row>
    <row r="38" spans="2:11" x14ac:dyDescent="0.2">
      <c r="B38" s="1" t="s">
        <v>24</v>
      </c>
    </row>
    <row r="40" spans="2:11" ht="15" x14ac:dyDescent="0.25">
      <c r="H40" s="3" t="s">
        <v>25</v>
      </c>
    </row>
    <row r="45" spans="2:11" x14ac:dyDescent="0.2">
      <c r="B45" s="1" t="s">
        <v>26</v>
      </c>
    </row>
    <row r="46" spans="2:11" x14ac:dyDescent="0.2">
      <c r="B46" s="1" t="s">
        <v>27</v>
      </c>
      <c r="H46" s="8">
        <f>+K33</f>
        <v>27795.494200000001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681A5-9C71-42E3-8A6D-551546A0D75A}">
  <dimension ref="A8:K46"/>
  <sheetViews>
    <sheetView workbookViewId="0"/>
  </sheetViews>
  <sheetFormatPr baseColWidth="10" defaultRowHeight="14.25" x14ac:dyDescent="0.2"/>
  <cols>
    <col min="1" max="1" width="11.7109375" style="1" customWidth="1"/>
    <col min="2" max="2" width="4.28515625" style="1" customWidth="1"/>
    <col min="3" max="3" width="6.7109375" style="1" customWidth="1"/>
    <col min="4" max="4" width="7.5703125" style="1" customWidth="1"/>
    <col min="5" max="5" width="11.85546875" style="1" customWidth="1"/>
    <col min="6" max="6" width="4.28515625" style="1" customWidth="1"/>
    <col min="7" max="7" width="3.140625" style="1" customWidth="1"/>
    <col min="8" max="8" width="13" style="1" customWidth="1"/>
    <col min="9" max="9" width="5.140625" style="1" customWidth="1"/>
    <col min="10" max="10" width="3.28515625" style="1" customWidth="1"/>
    <col min="11" max="11" width="13.7109375" style="1" customWidth="1"/>
    <col min="12" max="16384" width="11.42578125" style="1"/>
  </cols>
  <sheetData>
    <row r="8" spans="1:7" x14ac:dyDescent="0.2">
      <c r="F8" s="1" t="s">
        <v>28</v>
      </c>
    </row>
    <row r="9" spans="1:7" x14ac:dyDescent="0.2">
      <c r="F9" s="1" t="s">
        <v>29</v>
      </c>
    </row>
    <row r="10" spans="1:7" x14ac:dyDescent="0.2">
      <c r="F10" s="1" t="s">
        <v>30</v>
      </c>
    </row>
    <row r="11" spans="1:7" x14ac:dyDescent="0.2">
      <c r="F11" s="1" t="s">
        <v>31</v>
      </c>
    </row>
    <row r="16" spans="1:7" x14ac:dyDescent="0.2">
      <c r="A16" s="1" t="s">
        <v>4</v>
      </c>
      <c r="G16" s="1" t="s">
        <v>5</v>
      </c>
    </row>
    <row r="20" spans="2:11" x14ac:dyDescent="0.2">
      <c r="B20" s="1" t="s">
        <v>6</v>
      </c>
    </row>
    <row r="22" spans="2:11" x14ac:dyDescent="0.2">
      <c r="B22" s="1" t="s">
        <v>7</v>
      </c>
    </row>
    <row r="23" spans="2:11" ht="15" x14ac:dyDescent="0.25">
      <c r="B23" s="1" t="s">
        <v>8</v>
      </c>
    </row>
    <row r="25" spans="2:11" ht="15" x14ac:dyDescent="0.25">
      <c r="B25" s="2" t="s">
        <v>9</v>
      </c>
      <c r="C25" s="4">
        <v>344</v>
      </c>
      <c r="D25" s="1" t="s">
        <v>10</v>
      </c>
      <c r="E25" s="5">
        <v>13.378</v>
      </c>
      <c r="F25" s="3" t="s">
        <v>11</v>
      </c>
      <c r="G25" s="2" t="s">
        <v>12</v>
      </c>
      <c r="H25" s="7">
        <v>8465.5400000000009</v>
      </c>
      <c r="I25" s="1" t="s">
        <v>13</v>
      </c>
      <c r="J25" s="1" t="s">
        <v>14</v>
      </c>
      <c r="K25" s="8">
        <f>ROUND(+E25*H25, 2)</f>
        <v>113251.99</v>
      </c>
    </row>
    <row r="28" spans="2:11" x14ac:dyDescent="0.2">
      <c r="B28" s="1" t="s">
        <v>15</v>
      </c>
      <c r="E28" s="6">
        <f>ROUND(+K25/E25,2)</f>
        <v>8465.5400000000009</v>
      </c>
      <c r="F28" s="1" t="s">
        <v>13</v>
      </c>
    </row>
    <row r="30" spans="2:11" x14ac:dyDescent="0.2">
      <c r="D30" s="1" t="s">
        <v>16</v>
      </c>
      <c r="K30" s="11">
        <v>-88294.8</v>
      </c>
    </row>
    <row r="31" spans="2:11" x14ac:dyDescent="0.2">
      <c r="G31" s="1" t="s">
        <v>17</v>
      </c>
      <c r="K31" s="8">
        <f>SUM(K25,K30)</f>
        <v>24957.190000000002</v>
      </c>
    </row>
    <row r="32" spans="2:11" x14ac:dyDescent="0.2">
      <c r="G32" s="1" t="s">
        <v>18</v>
      </c>
      <c r="I32" s="1" t="s">
        <v>19</v>
      </c>
      <c r="J32" s="1" t="s">
        <v>20</v>
      </c>
      <c r="K32" s="11">
        <f>+K31*I32/100</f>
        <v>1372.6454500000002</v>
      </c>
    </row>
    <row r="33" spans="2:11" ht="15" x14ac:dyDescent="0.25">
      <c r="G33" s="3" t="s">
        <v>21</v>
      </c>
      <c r="K33" s="9">
        <f>SUM(K31:K32)</f>
        <v>26329.835450000002</v>
      </c>
    </row>
    <row r="35" spans="2:11" x14ac:dyDescent="0.2">
      <c r="B35" s="1" t="s">
        <v>22</v>
      </c>
    </row>
    <row r="37" spans="2:11" x14ac:dyDescent="0.2">
      <c r="B37" s="1" t="s">
        <v>23</v>
      </c>
    </row>
    <row r="38" spans="2:11" x14ac:dyDescent="0.2">
      <c r="B38" s="1" t="s">
        <v>24</v>
      </c>
    </row>
    <row r="40" spans="2:11" ht="15" x14ac:dyDescent="0.25">
      <c r="H40" s="3" t="s">
        <v>25</v>
      </c>
    </row>
    <row r="45" spans="2:11" x14ac:dyDescent="0.2">
      <c r="B45" s="1" t="s">
        <v>32</v>
      </c>
    </row>
    <row r="46" spans="2:11" x14ac:dyDescent="0.2">
      <c r="B46" s="1" t="s">
        <v>33</v>
      </c>
      <c r="H46" s="8">
        <f>+K33</f>
        <v>26329.835450000002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B4491-B3AA-4F00-A94F-6DAB927896E1}">
  <dimension ref="A8:K51"/>
  <sheetViews>
    <sheetView workbookViewId="0"/>
  </sheetViews>
  <sheetFormatPr baseColWidth="10" defaultRowHeight="14.25" x14ac:dyDescent="0.2"/>
  <cols>
    <col min="1" max="1" width="11.7109375" style="1" customWidth="1"/>
    <col min="2" max="2" width="4.28515625" style="1" customWidth="1"/>
    <col min="3" max="3" width="6.7109375" style="1" customWidth="1"/>
    <col min="4" max="4" width="7.5703125" style="1" customWidth="1"/>
    <col min="5" max="5" width="11.85546875" style="1" customWidth="1"/>
    <col min="6" max="6" width="4.28515625" style="1" customWidth="1"/>
    <col min="7" max="7" width="3.140625" style="1" customWidth="1"/>
    <col min="8" max="8" width="13" style="1" customWidth="1"/>
    <col min="9" max="9" width="5.140625" style="1" customWidth="1"/>
    <col min="10" max="10" width="3.28515625" style="1" customWidth="1"/>
    <col min="11" max="11" width="13.7109375" style="1" customWidth="1"/>
    <col min="12" max="16384" width="11.42578125" style="1"/>
  </cols>
  <sheetData>
    <row r="8" spans="1:7" x14ac:dyDescent="0.2">
      <c r="F8" s="1" t="s">
        <v>34</v>
      </c>
    </row>
    <row r="9" spans="1:7" x14ac:dyDescent="0.2">
      <c r="F9" s="1" t="s">
        <v>35</v>
      </c>
    </row>
    <row r="10" spans="1:7" x14ac:dyDescent="0.2">
      <c r="F10" s="1" t="s">
        <v>36</v>
      </c>
    </row>
    <row r="11" spans="1:7" x14ac:dyDescent="0.2">
      <c r="F11" s="1" t="s">
        <v>37</v>
      </c>
    </row>
    <row r="16" spans="1:7" x14ac:dyDescent="0.2">
      <c r="A16" s="1" t="s">
        <v>4</v>
      </c>
      <c r="G16" s="1" t="s">
        <v>5</v>
      </c>
    </row>
    <row r="20" spans="2:11" x14ac:dyDescent="0.2">
      <c r="B20" s="1" t="s">
        <v>6</v>
      </c>
    </row>
    <row r="22" spans="2:11" x14ac:dyDescent="0.2">
      <c r="B22" s="1" t="s">
        <v>7</v>
      </c>
    </row>
    <row r="23" spans="2:11" ht="15" x14ac:dyDescent="0.25">
      <c r="B23" s="1" t="s">
        <v>8</v>
      </c>
    </row>
    <row r="25" spans="2:11" ht="15" x14ac:dyDescent="0.25">
      <c r="B25" s="2" t="s">
        <v>9</v>
      </c>
      <c r="C25" s="4">
        <v>660</v>
      </c>
      <c r="D25" s="1" t="s">
        <v>10</v>
      </c>
      <c r="E25" s="5">
        <v>26.693000000000001</v>
      </c>
      <c r="F25" s="3" t="s">
        <v>11</v>
      </c>
      <c r="G25" s="2" t="s">
        <v>12</v>
      </c>
      <c r="H25" s="7">
        <v>8949.7999999999993</v>
      </c>
      <c r="I25" s="1" t="s">
        <v>13</v>
      </c>
      <c r="J25" s="1" t="s">
        <v>14</v>
      </c>
      <c r="K25" s="8">
        <f>ROUND(+E25*H25, 2)</f>
        <v>238897.01</v>
      </c>
    </row>
    <row r="27" spans="2:11" x14ac:dyDescent="0.2">
      <c r="B27" s="1" t="s">
        <v>38</v>
      </c>
      <c r="E27" s="6">
        <v>26.693000000000001</v>
      </c>
      <c r="F27" s="1" t="s">
        <v>11</v>
      </c>
      <c r="G27" s="2" t="s">
        <v>12</v>
      </c>
      <c r="H27" s="7">
        <f>ROUND(H25*2%, 2)</f>
        <v>179</v>
      </c>
      <c r="I27" s="1" t="s">
        <v>13</v>
      </c>
      <c r="J27" s="1" t="s">
        <v>14</v>
      </c>
      <c r="K27" s="8">
        <f>ROUND(H27*E27, 2)</f>
        <v>4778.05</v>
      </c>
    </row>
    <row r="28" spans="2:11" x14ac:dyDescent="0.2">
      <c r="K28" s="10"/>
    </row>
    <row r="30" spans="2:11" ht="3.75" customHeight="1" x14ac:dyDescent="0.2"/>
    <row r="31" spans="2:11" x14ac:dyDescent="0.2">
      <c r="B31" s="1" t="s">
        <v>15</v>
      </c>
      <c r="E31" s="6">
        <f>ROUND(K31/E25,2)</f>
        <v>9128.7999999999993</v>
      </c>
      <c r="F31" s="1" t="s">
        <v>13</v>
      </c>
      <c r="H31" s="1" t="s">
        <v>39</v>
      </c>
      <c r="K31" s="8">
        <f>SUM(K25:K27)</f>
        <v>243675.06</v>
      </c>
    </row>
    <row r="33" spans="2:11" x14ac:dyDescent="0.2">
      <c r="D33" s="1" t="s">
        <v>16</v>
      </c>
      <c r="K33" s="11">
        <v>-176173.8</v>
      </c>
    </row>
    <row r="34" spans="2:11" ht="3.75" customHeight="1" x14ac:dyDescent="0.2"/>
    <row r="35" spans="2:11" x14ac:dyDescent="0.2">
      <c r="G35" s="1" t="s">
        <v>17</v>
      </c>
      <c r="K35" s="8">
        <f>SUM(K31,K33)</f>
        <v>67501.260000000009</v>
      </c>
    </row>
    <row r="36" spans="2:11" x14ac:dyDescent="0.2">
      <c r="G36" s="1" t="s">
        <v>18</v>
      </c>
      <c r="I36" s="1" t="s">
        <v>19</v>
      </c>
      <c r="J36" s="1" t="s">
        <v>20</v>
      </c>
      <c r="K36" s="11">
        <f>+K35*I36/100</f>
        <v>3712.5693000000006</v>
      </c>
    </row>
    <row r="37" spans="2:11" ht="3.75" customHeight="1" x14ac:dyDescent="0.2"/>
    <row r="38" spans="2:11" ht="15" x14ac:dyDescent="0.25">
      <c r="G38" s="3" t="s">
        <v>21</v>
      </c>
      <c r="K38" s="9">
        <f>SUM(K35:K36)</f>
        <v>71213.829300000012</v>
      </c>
    </row>
    <row r="40" spans="2:11" x14ac:dyDescent="0.2">
      <c r="B40" s="1" t="s">
        <v>22</v>
      </c>
    </row>
    <row r="42" spans="2:11" x14ac:dyDescent="0.2">
      <c r="B42" s="1" t="s">
        <v>23</v>
      </c>
    </row>
    <row r="43" spans="2:11" x14ac:dyDescent="0.2">
      <c r="B43" s="1" t="s">
        <v>24</v>
      </c>
    </row>
    <row r="45" spans="2:11" ht="15" x14ac:dyDescent="0.25">
      <c r="H45" s="3" t="s">
        <v>25</v>
      </c>
    </row>
    <row r="50" spans="2:8" x14ac:dyDescent="0.2">
      <c r="B50" s="1" t="s">
        <v>40</v>
      </c>
    </row>
    <row r="51" spans="2:8" x14ac:dyDescent="0.2">
      <c r="B51" s="1" t="s">
        <v>41</v>
      </c>
      <c r="H51" s="8">
        <f>+K38</f>
        <v>71213.829300000012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8D148-A478-4804-8A26-6EAE63E4EF49}">
  <dimension ref="A8:K51"/>
  <sheetViews>
    <sheetView workbookViewId="0"/>
  </sheetViews>
  <sheetFormatPr baseColWidth="10" defaultRowHeight="14.25" x14ac:dyDescent="0.2"/>
  <cols>
    <col min="1" max="1" width="11.7109375" style="1" customWidth="1"/>
    <col min="2" max="2" width="4.28515625" style="1" customWidth="1"/>
    <col min="3" max="3" width="6.7109375" style="1" customWidth="1"/>
    <col min="4" max="4" width="7.5703125" style="1" customWidth="1"/>
    <col min="5" max="5" width="11.85546875" style="1" customWidth="1"/>
    <col min="6" max="6" width="4.28515625" style="1" customWidth="1"/>
    <col min="7" max="7" width="3.140625" style="1" customWidth="1"/>
    <col min="8" max="8" width="13" style="1" customWidth="1"/>
    <col min="9" max="9" width="5.140625" style="1" customWidth="1"/>
    <col min="10" max="10" width="3.28515625" style="1" customWidth="1"/>
    <col min="11" max="11" width="13.7109375" style="1" customWidth="1"/>
    <col min="12" max="16384" width="11.42578125" style="1"/>
  </cols>
  <sheetData>
    <row r="8" spans="1:7" x14ac:dyDescent="0.2">
      <c r="F8" s="1" t="s">
        <v>42</v>
      </c>
    </row>
    <row r="9" spans="1:7" x14ac:dyDescent="0.2">
      <c r="F9" s="1" t="s">
        <v>43</v>
      </c>
    </row>
    <row r="10" spans="1:7" x14ac:dyDescent="0.2">
      <c r="F10" s="1" t="s">
        <v>44</v>
      </c>
    </row>
    <row r="11" spans="1:7" x14ac:dyDescent="0.2">
      <c r="F11" s="1" t="s">
        <v>45</v>
      </c>
    </row>
    <row r="16" spans="1:7" x14ac:dyDescent="0.2">
      <c r="A16" s="1" t="s">
        <v>4</v>
      </c>
      <c r="G16" s="1" t="s">
        <v>46</v>
      </c>
    </row>
    <row r="20" spans="2:11" x14ac:dyDescent="0.2">
      <c r="B20" s="1" t="s">
        <v>6</v>
      </c>
    </row>
    <row r="22" spans="2:11" x14ac:dyDescent="0.2">
      <c r="B22" s="1" t="s">
        <v>7</v>
      </c>
    </row>
    <row r="23" spans="2:11" ht="15" x14ac:dyDescent="0.25">
      <c r="B23" s="1" t="s">
        <v>47</v>
      </c>
    </row>
    <row r="25" spans="2:11" ht="15" x14ac:dyDescent="0.25">
      <c r="B25" s="2" t="s">
        <v>9</v>
      </c>
      <c r="C25" s="4">
        <v>499</v>
      </c>
      <c r="D25" s="1" t="s">
        <v>10</v>
      </c>
      <c r="E25" s="5">
        <v>20.141999999999999</v>
      </c>
      <c r="F25" s="3" t="s">
        <v>11</v>
      </c>
      <c r="G25" s="2" t="s">
        <v>12</v>
      </c>
      <c r="H25" s="7">
        <v>8232.93</v>
      </c>
      <c r="I25" s="1" t="s">
        <v>13</v>
      </c>
      <c r="J25" s="1" t="s">
        <v>14</v>
      </c>
      <c r="K25" s="8">
        <f>ROUND(+E25*H25, 2)</f>
        <v>165827.68</v>
      </c>
    </row>
    <row r="26" spans="2:11" ht="15" x14ac:dyDescent="0.25">
      <c r="B26" s="2" t="s">
        <v>48</v>
      </c>
      <c r="C26" s="12">
        <v>74</v>
      </c>
      <c r="D26" s="1" t="s">
        <v>10</v>
      </c>
      <c r="E26" s="13">
        <v>2.9870000000000001</v>
      </c>
      <c r="F26" s="3" t="s">
        <v>11</v>
      </c>
      <c r="G26" s="2" t="s">
        <v>12</v>
      </c>
      <c r="H26" s="7">
        <v>6995.6</v>
      </c>
      <c r="I26" s="1" t="s">
        <v>13</v>
      </c>
      <c r="J26" s="1" t="s">
        <v>14</v>
      </c>
      <c r="K26" s="11">
        <f>ROUND(+E26*H26, 2)</f>
        <v>20895.86</v>
      </c>
    </row>
    <row r="27" spans="2:11" ht="15" x14ac:dyDescent="0.25">
      <c r="C27" s="4">
        <f>SUM(C25:C26)</f>
        <v>573</v>
      </c>
      <c r="D27" s="1" t="s">
        <v>10</v>
      </c>
      <c r="E27" s="5">
        <f>SUM(E25:E26)</f>
        <v>23.128999999999998</v>
      </c>
      <c r="F27" s="1" t="s">
        <v>11</v>
      </c>
      <c r="K27" s="9">
        <f>SUM(K25:K26)</f>
        <v>186723.53999999998</v>
      </c>
    </row>
    <row r="30" spans="2:11" ht="3.75" customHeight="1" x14ac:dyDescent="0.2"/>
    <row r="31" spans="2:11" x14ac:dyDescent="0.2">
      <c r="B31" s="1" t="s">
        <v>15</v>
      </c>
      <c r="E31" s="6">
        <f>ROUND(K27/E27,2)</f>
        <v>8073.14</v>
      </c>
      <c r="F31" s="1" t="s">
        <v>13</v>
      </c>
    </row>
    <row r="33" spans="2:11" x14ac:dyDescent="0.2">
      <c r="D33" s="1" t="s">
        <v>16</v>
      </c>
      <c r="K33" s="11">
        <v>-152651.4</v>
      </c>
    </row>
    <row r="34" spans="2:11" ht="3.75" customHeight="1" x14ac:dyDescent="0.2"/>
    <row r="35" spans="2:11" x14ac:dyDescent="0.2">
      <c r="G35" s="1" t="s">
        <v>17</v>
      </c>
      <c r="K35" s="8">
        <f>SUM(K27,K33)</f>
        <v>34072.139999999985</v>
      </c>
    </row>
    <row r="36" spans="2:11" x14ac:dyDescent="0.2">
      <c r="G36" s="1" t="s">
        <v>18</v>
      </c>
      <c r="I36" s="1" t="s">
        <v>19</v>
      </c>
      <c r="J36" s="1" t="s">
        <v>20</v>
      </c>
      <c r="K36" s="11">
        <f>+K35*I36/100</f>
        <v>1873.967699999999</v>
      </c>
    </row>
    <row r="37" spans="2:11" ht="3.75" customHeight="1" x14ac:dyDescent="0.2"/>
    <row r="38" spans="2:11" ht="15" x14ac:dyDescent="0.25">
      <c r="G38" s="3" t="s">
        <v>21</v>
      </c>
      <c r="K38" s="9">
        <f>SUM(K35:K36)</f>
        <v>35946.107699999986</v>
      </c>
    </row>
    <row r="40" spans="2:11" x14ac:dyDescent="0.2">
      <c r="B40" s="1" t="s">
        <v>22</v>
      </c>
    </row>
    <row r="42" spans="2:11" x14ac:dyDescent="0.2">
      <c r="B42" s="1" t="s">
        <v>23</v>
      </c>
    </row>
    <row r="43" spans="2:11" x14ac:dyDescent="0.2">
      <c r="B43" s="1" t="s">
        <v>24</v>
      </c>
    </row>
    <row r="45" spans="2:11" ht="15" x14ac:dyDescent="0.25">
      <c r="H45" s="3" t="s">
        <v>25</v>
      </c>
    </row>
    <row r="50" spans="2:8" x14ac:dyDescent="0.2">
      <c r="B50" s="1" t="s">
        <v>49</v>
      </c>
    </row>
    <row r="51" spans="2:8" x14ac:dyDescent="0.2">
      <c r="B51" s="1" t="s">
        <v>50</v>
      </c>
      <c r="H51" s="8">
        <f>+K38</f>
        <v>35946.107699999986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548D-18A1-41FB-A605-1AA96C2B5DF2}">
  <dimension ref="A8:K51"/>
  <sheetViews>
    <sheetView workbookViewId="0"/>
  </sheetViews>
  <sheetFormatPr baseColWidth="10" defaultRowHeight="14.25" x14ac:dyDescent="0.2"/>
  <cols>
    <col min="1" max="1" width="11.7109375" style="1" customWidth="1"/>
    <col min="2" max="2" width="4.28515625" style="1" customWidth="1"/>
    <col min="3" max="3" width="6.7109375" style="1" customWidth="1"/>
    <col min="4" max="4" width="7.5703125" style="1" customWidth="1"/>
    <col min="5" max="5" width="11.85546875" style="1" customWidth="1"/>
    <col min="6" max="6" width="4.28515625" style="1" customWidth="1"/>
    <col min="7" max="7" width="3.140625" style="1" customWidth="1"/>
    <col min="8" max="8" width="13" style="1" customWidth="1"/>
    <col min="9" max="9" width="5.140625" style="1" customWidth="1"/>
    <col min="10" max="10" width="3.28515625" style="1" customWidth="1"/>
    <col min="11" max="11" width="13.7109375" style="1" customWidth="1"/>
    <col min="12" max="16384" width="11.42578125" style="1"/>
  </cols>
  <sheetData>
    <row r="8" spans="1:7" x14ac:dyDescent="0.2">
      <c r="F8" s="1" t="s">
        <v>34</v>
      </c>
    </row>
    <row r="9" spans="1:7" x14ac:dyDescent="0.2">
      <c r="F9" s="1" t="s">
        <v>51</v>
      </c>
    </row>
    <row r="10" spans="1:7" x14ac:dyDescent="0.2">
      <c r="F10" s="1" t="s">
        <v>36</v>
      </c>
    </row>
    <row r="11" spans="1:7" x14ac:dyDescent="0.2">
      <c r="F11" s="1" t="s">
        <v>52</v>
      </c>
    </row>
    <row r="16" spans="1:7" x14ac:dyDescent="0.2">
      <c r="A16" s="1" t="s">
        <v>4</v>
      </c>
      <c r="G16" s="1" t="s">
        <v>5</v>
      </c>
    </row>
    <row r="20" spans="2:11" x14ac:dyDescent="0.2">
      <c r="B20" s="1" t="s">
        <v>6</v>
      </c>
    </row>
    <row r="22" spans="2:11" x14ac:dyDescent="0.2">
      <c r="B22" s="1" t="s">
        <v>7</v>
      </c>
    </row>
    <row r="23" spans="2:11" ht="15" x14ac:dyDescent="0.25">
      <c r="B23" s="1" t="s">
        <v>8</v>
      </c>
    </row>
    <row r="25" spans="2:11" ht="15" x14ac:dyDescent="0.25">
      <c r="B25" s="2" t="s">
        <v>9</v>
      </c>
      <c r="C25" s="4">
        <v>240</v>
      </c>
      <c r="D25" s="1" t="s">
        <v>10</v>
      </c>
      <c r="E25" s="5">
        <v>9.2100000000000009</v>
      </c>
      <c r="F25" s="3" t="s">
        <v>11</v>
      </c>
      <c r="G25" s="2" t="s">
        <v>12</v>
      </c>
      <c r="H25" s="7">
        <v>8949.7999999999993</v>
      </c>
      <c r="I25" s="1" t="s">
        <v>13</v>
      </c>
      <c r="J25" s="1" t="s">
        <v>14</v>
      </c>
      <c r="K25" s="8">
        <f>ROUND(+E25*H25, 2)</f>
        <v>82427.66</v>
      </c>
    </row>
    <row r="27" spans="2:11" x14ac:dyDescent="0.2">
      <c r="B27" s="1" t="s">
        <v>38</v>
      </c>
      <c r="E27" s="6">
        <v>9.2100000000000009</v>
      </c>
      <c r="F27" s="1" t="s">
        <v>11</v>
      </c>
      <c r="G27" s="2" t="s">
        <v>12</v>
      </c>
      <c r="H27" s="7">
        <f>ROUND(H25*2%, 2)</f>
        <v>179</v>
      </c>
      <c r="I27" s="1" t="s">
        <v>13</v>
      </c>
      <c r="J27" s="1" t="s">
        <v>14</v>
      </c>
      <c r="K27" s="8">
        <f>ROUND(H27*E27, 2)</f>
        <v>1648.59</v>
      </c>
    </row>
    <row r="28" spans="2:11" x14ac:dyDescent="0.2">
      <c r="K28" s="10"/>
    </row>
    <row r="30" spans="2:11" ht="3.75" customHeight="1" x14ac:dyDescent="0.2"/>
    <row r="31" spans="2:11" x14ac:dyDescent="0.2">
      <c r="B31" s="1" t="s">
        <v>15</v>
      </c>
      <c r="E31" s="6">
        <f>ROUND(K31/E25,2)</f>
        <v>9128.7999999999993</v>
      </c>
      <c r="F31" s="1" t="s">
        <v>13</v>
      </c>
      <c r="H31" s="1" t="s">
        <v>39</v>
      </c>
      <c r="K31" s="8">
        <f>SUM(K25:K27)</f>
        <v>84076.25</v>
      </c>
    </row>
    <row r="33" spans="2:11" x14ac:dyDescent="0.2">
      <c r="D33" s="1" t="s">
        <v>16</v>
      </c>
      <c r="K33" s="11">
        <v>-60786</v>
      </c>
    </row>
    <row r="34" spans="2:11" ht="3.75" customHeight="1" x14ac:dyDescent="0.2"/>
    <row r="35" spans="2:11" x14ac:dyDescent="0.2">
      <c r="G35" s="1" t="s">
        <v>17</v>
      </c>
      <c r="K35" s="8">
        <f>SUM(K31,K33)</f>
        <v>23290.25</v>
      </c>
    </row>
    <row r="36" spans="2:11" x14ac:dyDescent="0.2">
      <c r="G36" s="1" t="s">
        <v>18</v>
      </c>
      <c r="I36" s="1" t="s">
        <v>19</v>
      </c>
      <c r="J36" s="1" t="s">
        <v>20</v>
      </c>
      <c r="K36" s="11">
        <f>+K35*I36/100</f>
        <v>1280.9637499999999</v>
      </c>
    </row>
    <row r="37" spans="2:11" ht="3.75" customHeight="1" x14ac:dyDescent="0.2"/>
    <row r="38" spans="2:11" ht="15" x14ac:dyDescent="0.25">
      <c r="G38" s="3" t="s">
        <v>21</v>
      </c>
      <c r="K38" s="9">
        <f>SUM(K35:K36)</f>
        <v>24571.213749999999</v>
      </c>
    </row>
    <row r="40" spans="2:11" x14ac:dyDescent="0.2">
      <c r="B40" s="1" t="s">
        <v>22</v>
      </c>
    </row>
    <row r="42" spans="2:11" x14ac:dyDescent="0.2">
      <c r="B42" s="1" t="s">
        <v>23</v>
      </c>
    </row>
    <row r="43" spans="2:11" x14ac:dyDescent="0.2">
      <c r="B43" s="1" t="s">
        <v>24</v>
      </c>
    </row>
    <row r="45" spans="2:11" ht="15" x14ac:dyDescent="0.25">
      <c r="H45" s="3" t="s">
        <v>25</v>
      </c>
    </row>
    <row r="50" spans="2:8" x14ac:dyDescent="0.2">
      <c r="B50" s="1" t="s">
        <v>40</v>
      </c>
    </row>
    <row r="51" spans="2:8" x14ac:dyDescent="0.2">
      <c r="B51" s="1" t="s">
        <v>41</v>
      </c>
      <c r="H51" s="8">
        <f>+K38</f>
        <v>24571.213749999999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1770B-8C10-4D1A-99C3-224EC0DC2227}">
  <dimension ref="A8:K51"/>
  <sheetViews>
    <sheetView tabSelected="1" workbookViewId="0"/>
  </sheetViews>
  <sheetFormatPr baseColWidth="10" defaultRowHeight="14.25" x14ac:dyDescent="0.2"/>
  <cols>
    <col min="1" max="1" width="11.7109375" style="1" customWidth="1"/>
    <col min="2" max="2" width="4.28515625" style="1" customWidth="1"/>
    <col min="3" max="3" width="6.7109375" style="1" customWidth="1"/>
    <col min="4" max="4" width="7.5703125" style="1" customWidth="1"/>
    <col min="5" max="5" width="11.85546875" style="1" customWidth="1"/>
    <col min="6" max="6" width="4.28515625" style="1" customWidth="1"/>
    <col min="7" max="7" width="3.140625" style="1" customWidth="1"/>
    <col min="8" max="8" width="13" style="1" customWidth="1"/>
    <col min="9" max="9" width="5.140625" style="1" customWidth="1"/>
    <col min="10" max="10" width="3.28515625" style="1" customWidth="1"/>
    <col min="11" max="11" width="13.7109375" style="1" customWidth="1"/>
    <col min="12" max="16384" width="11.42578125" style="1"/>
  </cols>
  <sheetData>
    <row r="8" spans="1:7" x14ac:dyDescent="0.2">
      <c r="F8" s="1" t="s">
        <v>53</v>
      </c>
    </row>
    <row r="9" spans="1:7" x14ac:dyDescent="0.2">
      <c r="F9" s="1" t="s">
        <v>54</v>
      </c>
    </row>
    <row r="10" spans="1:7" x14ac:dyDescent="0.2">
      <c r="F10" s="1" t="s">
        <v>55</v>
      </c>
    </row>
    <row r="11" spans="1:7" x14ac:dyDescent="0.2">
      <c r="F11" s="1" t="s">
        <v>56</v>
      </c>
    </row>
    <row r="16" spans="1:7" x14ac:dyDescent="0.2">
      <c r="A16" s="1" t="s">
        <v>4</v>
      </c>
      <c r="G16" s="1" t="s">
        <v>46</v>
      </c>
    </row>
    <row r="20" spans="2:11" x14ac:dyDescent="0.2">
      <c r="B20" s="1" t="s">
        <v>6</v>
      </c>
    </row>
    <row r="22" spans="2:11" x14ac:dyDescent="0.2">
      <c r="B22" s="1" t="s">
        <v>7</v>
      </c>
    </row>
    <row r="23" spans="2:11" ht="15" x14ac:dyDescent="0.25">
      <c r="B23" s="1" t="s">
        <v>47</v>
      </c>
    </row>
    <row r="25" spans="2:11" ht="15" x14ac:dyDescent="0.25">
      <c r="B25" s="2" t="s">
        <v>9</v>
      </c>
      <c r="C25" s="4">
        <v>364</v>
      </c>
      <c r="D25" s="1" t="s">
        <v>10</v>
      </c>
      <c r="E25" s="5">
        <v>15.173999999999999</v>
      </c>
      <c r="F25" s="3" t="s">
        <v>11</v>
      </c>
      <c r="G25" s="2" t="s">
        <v>12</v>
      </c>
      <c r="H25" s="7">
        <v>8252.93</v>
      </c>
      <c r="I25" s="1" t="s">
        <v>13</v>
      </c>
      <c r="J25" s="1" t="s">
        <v>14</v>
      </c>
      <c r="K25" s="8">
        <f>ROUND(+E25*H25, 2)</f>
        <v>125229.96</v>
      </c>
    </row>
    <row r="26" spans="2:11" ht="15" x14ac:dyDescent="0.25">
      <c r="B26" s="2" t="s">
        <v>48</v>
      </c>
      <c r="C26" s="12">
        <v>5</v>
      </c>
      <c r="D26" s="1" t="s">
        <v>10</v>
      </c>
      <c r="E26" s="13">
        <v>0.20799999999999999</v>
      </c>
      <c r="F26" s="3" t="s">
        <v>11</v>
      </c>
      <c r="G26" s="2" t="s">
        <v>12</v>
      </c>
      <c r="H26" s="7">
        <v>7065.6</v>
      </c>
      <c r="I26" s="1" t="s">
        <v>13</v>
      </c>
      <c r="J26" s="1" t="s">
        <v>14</v>
      </c>
      <c r="K26" s="11">
        <f>ROUND(+E26*H26, 2)</f>
        <v>1469.64</v>
      </c>
    </row>
    <row r="27" spans="2:11" ht="15" x14ac:dyDescent="0.25">
      <c r="C27" s="4">
        <f>SUM(C25:C26)</f>
        <v>369</v>
      </c>
      <c r="D27" s="1" t="s">
        <v>10</v>
      </c>
      <c r="E27" s="5">
        <f>SUM(E25:E26)</f>
        <v>15.382</v>
      </c>
      <c r="F27" s="1" t="s">
        <v>11</v>
      </c>
      <c r="K27" s="9">
        <f>SUM(K25:K26)</f>
        <v>126699.6</v>
      </c>
    </row>
    <row r="30" spans="2:11" ht="3.75" customHeight="1" x14ac:dyDescent="0.2"/>
    <row r="31" spans="2:11" x14ac:dyDescent="0.2">
      <c r="B31" s="1" t="s">
        <v>15</v>
      </c>
      <c r="E31" s="6">
        <f>ROUND(K27/E27,2)</f>
        <v>8236.8700000000008</v>
      </c>
      <c r="F31" s="1" t="s">
        <v>13</v>
      </c>
    </row>
    <row r="33" spans="2:11" x14ac:dyDescent="0.2">
      <c r="D33" s="1" t="s">
        <v>16</v>
      </c>
      <c r="K33" s="11">
        <v>-101521.2</v>
      </c>
    </row>
    <row r="34" spans="2:11" ht="3.75" customHeight="1" x14ac:dyDescent="0.2"/>
    <row r="35" spans="2:11" x14ac:dyDescent="0.2">
      <c r="G35" s="1" t="s">
        <v>17</v>
      </c>
      <c r="K35" s="8">
        <f>SUM(K27,K33)</f>
        <v>25178.400000000009</v>
      </c>
    </row>
    <row r="36" spans="2:11" x14ac:dyDescent="0.2">
      <c r="G36" s="1" t="s">
        <v>18</v>
      </c>
      <c r="I36" s="1" t="s">
        <v>19</v>
      </c>
      <c r="J36" s="1" t="s">
        <v>20</v>
      </c>
      <c r="K36" s="11">
        <f>+K35*I36/100</f>
        <v>1384.8120000000004</v>
      </c>
    </row>
    <row r="37" spans="2:11" ht="3.75" customHeight="1" x14ac:dyDescent="0.2"/>
    <row r="38" spans="2:11" ht="15" x14ac:dyDescent="0.25">
      <c r="G38" s="3" t="s">
        <v>21</v>
      </c>
      <c r="K38" s="9">
        <f>SUM(K35:K36)</f>
        <v>26563.21200000001</v>
      </c>
    </row>
    <row r="40" spans="2:11" x14ac:dyDescent="0.2">
      <c r="B40" s="1" t="s">
        <v>22</v>
      </c>
    </row>
    <row r="42" spans="2:11" x14ac:dyDescent="0.2">
      <c r="B42" s="1" t="s">
        <v>23</v>
      </c>
    </row>
    <row r="43" spans="2:11" x14ac:dyDescent="0.2">
      <c r="B43" s="1" t="s">
        <v>24</v>
      </c>
    </row>
    <row r="45" spans="2:11" ht="15" x14ac:dyDescent="0.25">
      <c r="H45" s="3" t="s">
        <v>25</v>
      </c>
    </row>
    <row r="50" spans="2:8" x14ac:dyDescent="0.2">
      <c r="B50" s="1" t="s">
        <v>57</v>
      </c>
    </row>
    <row r="51" spans="2:8" x14ac:dyDescent="0.2">
      <c r="B51" s="1" t="s">
        <v>58</v>
      </c>
      <c r="H51" s="8">
        <f>+K38</f>
        <v>26563.21200000001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Feuil1</vt:lpstr>
      <vt:lpstr>SCAF GRANGE DE VAIVRE    </vt:lpstr>
      <vt:lpstr>SCAF BRESSE JURASSIENNE  </vt:lpstr>
      <vt:lpstr>ANDELOT</vt:lpstr>
      <vt:lpstr>SCAF LONGEVELLE-RUSSEY   </vt:lpstr>
      <vt:lpstr>GD COMBE CHATELEU        </vt:lpstr>
      <vt:lpstr>SCAF LAVANS VUILLAFANS 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steeve guillot</dc:creator>
  <cp:lastModifiedBy>steeve guillot</cp:lastModifiedBy>
  <dcterms:created xsi:type="dcterms:W3CDTF">2024-08-02T09:45:18Z</dcterms:created>
  <dcterms:modified xsi:type="dcterms:W3CDTF">2024-08-02T09:45:24Z</dcterms:modified>
</cp:coreProperties>
</file>