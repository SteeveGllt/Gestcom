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pfProject\Gestcom\Documents\Rappels\"/>
    </mc:Choice>
  </mc:AlternateContent>
  <xr:revisionPtr revIDLastSave="0" documentId="8_{9C230E5B-40B0-422B-B2EE-6A1CD8DB7018}" xr6:coauthVersionLast="47" xr6:coauthVersionMax="47" xr10:uidLastSave="{00000000-0000-0000-0000-000000000000}"/>
  <bookViews>
    <workbookView xWindow="4128" yWindow="3396" windowWidth="17280" windowHeight="8964" firstSheet="4" activeTab="5" xr2:uid="{BD4C0B0B-658F-4D83-8E3C-50D05F4E1CFC}"/>
  </bookViews>
  <sheets>
    <sheet name="Feuil1" sheetId="1" r:id="rId1"/>
    <sheet name="SCAF GRANGE DE VAIVRE    " sheetId="2" r:id="rId2"/>
    <sheet name="SCAF BRESSE JURASSIENNE  " sheetId="3" r:id="rId3"/>
    <sheet name="COOP MONTS DE JOUX" sheetId="4" r:id="rId4"/>
    <sheet name="SCAF LONGEVELLE-RUSSEY   " sheetId="5" r:id="rId5"/>
    <sheet name="SCAF LAVANS VUILLAFANS  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6" l="1"/>
  <c r="K38" i="5"/>
  <c r="K38" i="4"/>
  <c r="K38" i="3"/>
  <c r="K38" i="2"/>
  <c r="K27" i="2"/>
  <c r="E27" i="2"/>
  <c r="C27" i="2"/>
</calcChain>
</file>

<file path=xl/sharedStrings.xml><?xml version="1.0" encoding="utf-8"?>
<sst xmlns="http://schemas.openxmlformats.org/spreadsheetml/2006/main" count="153" uniqueCount="54">
  <si>
    <t xml:space="preserve">M PONCET FREDERIC        </t>
  </si>
  <si>
    <t xml:space="preserve">SCAF GRANGE DE VAIVRE    </t>
  </si>
  <si>
    <t xml:space="preserve">                         </t>
  </si>
  <si>
    <t xml:space="preserve">39600 GRANGE DE VAIVRE         </t>
  </si>
  <si>
    <t xml:space="preserve">      TB/PB</t>
  </si>
  <si>
    <t>Le 01 mars 2024</t>
  </si>
  <si>
    <t>Monsieur le Président</t>
  </si>
  <si>
    <t xml:space="preserve">          Conformément à nos conditions d'achat, le décompte de votre</t>
  </si>
  <si>
    <t>lot de fabrication OCTOBRE 2023 s'établit comme suit :</t>
  </si>
  <si>
    <t>A</t>
  </si>
  <si>
    <t>pains</t>
  </si>
  <si>
    <t>T</t>
  </si>
  <si>
    <t>x</t>
  </si>
  <si>
    <t>€/T</t>
  </si>
  <si>
    <t xml:space="preserve"> =</t>
  </si>
  <si>
    <t>B</t>
  </si>
  <si>
    <t xml:space="preserve">Soit au kg blanc : </t>
  </si>
  <si>
    <t xml:space="preserve">A déduire N/Acompte du </t>
  </si>
  <si>
    <t>Total Hors Taxes</t>
  </si>
  <si>
    <t>T.V.A</t>
  </si>
  <si>
    <t>5,5</t>
  </si>
  <si>
    <t>%</t>
  </si>
  <si>
    <t>Total Réglé</t>
  </si>
  <si>
    <t xml:space="preserve">          Vous en souhaitant bonne réception</t>
  </si>
  <si>
    <t xml:space="preserve">          Nous vous prions d'agréer, Monsieur le Président, nos</t>
  </si>
  <si>
    <t>salutations distinguées</t>
  </si>
  <si>
    <t>Service Comptabilité</t>
  </si>
  <si>
    <t>PS : Nous virons ce jour, sur votre compte N° 12506 39029 50546581010 50</t>
  </si>
  <si>
    <t>CAFC SALINS LES BAINS   , la somme de</t>
  </si>
  <si>
    <t xml:space="preserve">M BUATOIS ANTHONY        </t>
  </si>
  <si>
    <t xml:space="preserve">SCAF BRESSE JURASSIENNE  </t>
  </si>
  <si>
    <t xml:space="preserve">3 PLACE DE LA MAIRIE     </t>
  </si>
  <si>
    <t xml:space="preserve">39140  DESNES                  </t>
  </si>
  <si>
    <t>PS : Nous virons ce jour, sur votre compte N° 12506 39023 40357496000 40</t>
  </si>
  <si>
    <t>CAFC POLIGNY            , la somme de</t>
  </si>
  <si>
    <t>M YVES LOUVRIER</t>
  </si>
  <si>
    <t>COOP MONTS DE JOUX</t>
  </si>
  <si>
    <t>ANDELOT EN MONTAGNE</t>
  </si>
  <si>
    <t>25560 BANNANS</t>
  </si>
  <si>
    <t xml:space="preserve">PS : Nous virons ce jour, sur votre compte N° 0 0  </t>
  </si>
  <si>
    <t>, la somme de</t>
  </si>
  <si>
    <t xml:space="preserve">Mr DEVAUX JOHANN         </t>
  </si>
  <si>
    <t xml:space="preserve">SCAF LONGEVELLE/RUSSEY   </t>
  </si>
  <si>
    <t xml:space="preserve">2, rue du Conot          </t>
  </si>
  <si>
    <t>25380 CHARMOILLE</t>
  </si>
  <si>
    <t>lot de fabrication SEPTEMBRE 2023 s'établit comme suit :</t>
  </si>
  <si>
    <t>PS : Nous virons ce jour, sur votre compte N° 12506 20017 11707951010 11</t>
  </si>
  <si>
    <t>CAFC SANCEY LE GRAND    , la somme de</t>
  </si>
  <si>
    <t xml:space="preserve">MR JOANY LEPINE          </t>
  </si>
  <si>
    <t xml:space="preserve">SCAF LAVANS VUILLAFANS   </t>
  </si>
  <si>
    <t xml:space="preserve">6, Chemin des Clos Ronds </t>
  </si>
  <si>
    <t xml:space="preserve">25380  LAVANS VUILLAFANS       </t>
  </si>
  <si>
    <t>PS : Nous virons ce jour, sur votre compte N° 10807 6 22321737995 22</t>
  </si>
  <si>
    <t>BNP ORNANS              , la somme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</si>
</sst>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&quot;€&quot;"/>
    <numFmt numFmtId="165" formatCode="#\ ##0.00,"/>
    <numFmt numFmtId="166" formatCode="#\ ##0.000"/>
    <numFmt numFmtId="167" formatCode="\-#\ ##0.00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left"/>
    </xf>
    <xf numFmtId="167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006C-BC5C-4D8E-922C-1948F2C6EB0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045C-A37D-4DE4-B91B-D7B6A0ADBED4}">
  <dimension ref="A8:K51"/>
  <sheetViews>
    <sheetView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77734375" style="1" customWidth="1"/>
    <col min="4" max="4" width="7.6640625" style="1" customWidth="1"/>
    <col min="5" max="5" width="11.88671875" style="1" customWidth="1"/>
    <col min="6" max="6" width="4.33203125" style="1" customWidth="1"/>
    <col min="7" max="7" width="3.21875" style="1" customWidth="1"/>
    <col min="8" max="8" width="13.109375" style="1" customWidth="1"/>
    <col min="9" max="9" width="5.21875" style="1" customWidth="1"/>
    <col min="10" max="10" width="3.33203125" style="1" customWidth="1"/>
    <col min="11" max="11" width="13.77734375" style="1" customWidth="1"/>
    <col min="12" max="16384" width="11.5546875" style="1"/>
  </cols>
  <sheetData>
    <row r="8" spans="1:7" x14ac:dyDescent="0.25">
      <c r="F8" s="1" t="s">
        <v>0</v>
      </c>
    </row>
    <row r="9" spans="1:7" x14ac:dyDescent="0.25">
      <c r="F9" s="1" t="s">
        <v>1</v>
      </c>
    </row>
    <row r="10" spans="1:7" x14ac:dyDescent="0.25">
      <c r="F10" s="1" t="s">
        <v>2</v>
      </c>
    </row>
    <row r="11" spans="1:7" x14ac:dyDescent="0.25">
      <c r="F11" s="1" t="s">
        <v>3</v>
      </c>
    </row>
    <row r="16" spans="1:7" x14ac:dyDescent="0.25">
      <c r="A16" s="1" t="s">
        <v>4</v>
      </c>
      <c r="G16" s="1" t="s">
        <v>5</v>
      </c>
    </row>
    <row r="20" spans="2:11" x14ac:dyDescent="0.25">
      <c r="B20" s="1" t="s">
        <v>6</v>
      </c>
    </row>
    <row r="22" spans="2:11" x14ac:dyDescent="0.25">
      <c r="B22" s="1" t="s">
        <v>7</v>
      </c>
    </row>
    <row r="23" spans="2:11" x14ac:dyDescent="0.25">
      <c r="B23" s="1" t="s">
        <v>8</v>
      </c>
    </row>
    <row r="25" spans="2:11" x14ac:dyDescent="0.25">
      <c r="B25" s="2" t="s">
        <v>9</v>
      </c>
      <c r="C25" s="4">
        <v>55</v>
      </c>
      <c r="D25" s="1" t="s">
        <v>10</v>
      </c>
      <c r="E25" s="5">
        <v>2.1160000000000001</v>
      </c>
      <c r="F25" s="3" t="s">
        <v>11</v>
      </c>
      <c r="G25" s="2" t="s">
        <v>12</v>
      </c>
      <c r="H25" s="7">
        <v>0</v>
      </c>
      <c r="I25" s="1" t="s">
        <v>13</v>
      </c>
      <c r="J25" s="1" t="s">
        <v>14</v>
      </c>
      <c r="K25" s="8">
        <v>0</v>
      </c>
    </row>
    <row r="26" spans="2:11" x14ac:dyDescent="0.25">
      <c r="B26" s="2" t="s">
        <v>15</v>
      </c>
      <c r="C26" s="9">
        <v>5</v>
      </c>
      <c r="D26" s="1" t="s">
        <v>10</v>
      </c>
      <c r="E26" s="10">
        <v>0.192</v>
      </c>
      <c r="F26" s="3" t="s">
        <v>11</v>
      </c>
      <c r="G26" s="2" t="s">
        <v>12</v>
      </c>
      <c r="H26" s="7">
        <v>0</v>
      </c>
      <c r="I26" s="1" t="s">
        <v>13</v>
      </c>
      <c r="J26" s="1" t="s">
        <v>14</v>
      </c>
      <c r="K26" s="11">
        <v>0</v>
      </c>
    </row>
    <row r="27" spans="2:11" x14ac:dyDescent="0.25">
      <c r="C27" s="4">
        <f>SUM(C25:C26)</f>
        <v>60</v>
      </c>
      <c r="D27" s="1" t="s">
        <v>10</v>
      </c>
      <c r="E27" s="5">
        <f>SUM(E25:E26)</f>
        <v>2.3080000000000003</v>
      </c>
      <c r="F27" s="1" t="s">
        <v>11</v>
      </c>
      <c r="K27" s="5">
        <f>SUM(K25:K26)</f>
        <v>0</v>
      </c>
    </row>
    <row r="30" spans="2:11" ht="3.75" customHeight="1" x14ac:dyDescent="0.25"/>
    <row r="31" spans="2:11" x14ac:dyDescent="0.25">
      <c r="B31" s="1" t="s">
        <v>16</v>
      </c>
      <c r="E31" s="6">
        <v>0</v>
      </c>
      <c r="F31" s="1" t="s">
        <v>13</v>
      </c>
    </row>
    <row r="33" spans="2:11" x14ac:dyDescent="0.25">
      <c r="D33" s="1" t="s">
        <v>17</v>
      </c>
      <c r="K33" s="13">
        <v>15002</v>
      </c>
    </row>
    <row r="34" spans="2:11" ht="3.75" customHeight="1" x14ac:dyDescent="0.25"/>
    <row r="35" spans="2:11" x14ac:dyDescent="0.25">
      <c r="G35" s="1" t="s">
        <v>18</v>
      </c>
      <c r="K35" s="8">
        <v>-15002</v>
      </c>
    </row>
    <row r="36" spans="2:11" x14ac:dyDescent="0.25">
      <c r="G36" s="1" t="s">
        <v>19</v>
      </c>
      <c r="I36" s="1" t="s">
        <v>20</v>
      </c>
      <c r="J36" s="1" t="s">
        <v>21</v>
      </c>
      <c r="K36" s="11">
        <v>-825.11</v>
      </c>
    </row>
    <row r="37" spans="2:11" ht="3.75" customHeight="1" x14ac:dyDescent="0.25"/>
    <row r="38" spans="2:11" x14ac:dyDescent="0.25">
      <c r="G38" s="3" t="s">
        <v>22</v>
      </c>
      <c r="K38" s="5">
        <f>ROUND(SUM(K35:K36), 2)</f>
        <v>-15827.11</v>
      </c>
    </row>
    <row r="40" spans="2:11" x14ac:dyDescent="0.25">
      <c r="B40" s="1" t="s">
        <v>23</v>
      </c>
    </row>
    <row r="42" spans="2:11" x14ac:dyDescent="0.25">
      <c r="B42" s="1" t="s">
        <v>24</v>
      </c>
    </row>
    <row r="43" spans="2:11" x14ac:dyDescent="0.25">
      <c r="B43" s="1" t="s">
        <v>25</v>
      </c>
    </row>
    <row r="45" spans="2:11" x14ac:dyDescent="0.25">
      <c r="H45" s="3" t="s">
        <v>26</v>
      </c>
    </row>
    <row r="50" spans="2:8" x14ac:dyDescent="0.25">
      <c r="B50" s="1" t="s">
        <v>27</v>
      </c>
    </row>
    <row r="51" spans="2:8" x14ac:dyDescent="0.25">
      <c r="B51" s="1" t="s">
        <v>28</v>
      </c>
      <c r="H51" s="12">
        <v>-15827.11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252D-3BDA-4FCA-9796-736730F88F47}">
  <dimension ref="A8:K51"/>
  <sheetViews>
    <sheetView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77734375" style="1" customWidth="1"/>
    <col min="4" max="4" width="7.6640625" style="1" customWidth="1"/>
    <col min="5" max="5" width="11.88671875" style="1" customWidth="1"/>
    <col min="6" max="6" width="4.33203125" style="1" customWidth="1"/>
    <col min="7" max="7" width="3.21875" style="1" customWidth="1"/>
    <col min="8" max="8" width="13.109375" style="1" customWidth="1"/>
    <col min="9" max="9" width="5.21875" style="1" customWidth="1"/>
    <col min="10" max="10" width="3.33203125" style="1" customWidth="1"/>
    <col min="11" max="11" width="13.77734375" style="1" customWidth="1"/>
    <col min="12" max="16384" width="11.5546875" style="1"/>
  </cols>
  <sheetData>
    <row r="8" spans="1:7" x14ac:dyDescent="0.25">
      <c r="F8" s="1" t="s">
        <v>29</v>
      </c>
    </row>
    <row r="9" spans="1:7" x14ac:dyDescent="0.25">
      <c r="F9" s="1" t="s">
        <v>30</v>
      </c>
    </row>
    <row r="10" spans="1:7" x14ac:dyDescent="0.25">
      <c r="F10" s="1" t="s">
        <v>31</v>
      </c>
    </row>
    <row r="11" spans="1:7" x14ac:dyDescent="0.25">
      <c r="F11" s="1" t="s">
        <v>32</v>
      </c>
    </row>
    <row r="16" spans="1:7" x14ac:dyDescent="0.25">
      <c r="A16" s="1" t="s">
        <v>4</v>
      </c>
      <c r="G16" s="1" t="s">
        <v>5</v>
      </c>
    </row>
    <row r="20" spans="2:11" x14ac:dyDescent="0.25">
      <c r="B20" s="1" t="s">
        <v>6</v>
      </c>
    </row>
    <row r="22" spans="2:11" x14ac:dyDescent="0.25">
      <c r="B22" s="1" t="s">
        <v>7</v>
      </c>
    </row>
    <row r="23" spans="2:11" x14ac:dyDescent="0.25">
      <c r="B23" s="1" t="s">
        <v>8</v>
      </c>
    </row>
    <row r="25" spans="2:11" x14ac:dyDescent="0.25">
      <c r="B25" s="2" t="s">
        <v>9</v>
      </c>
      <c r="C25" s="4">
        <v>275</v>
      </c>
      <c r="D25" s="1" t="s">
        <v>10</v>
      </c>
      <c r="E25" s="5">
        <v>10.786</v>
      </c>
      <c r="F25" s="3" t="s">
        <v>11</v>
      </c>
      <c r="G25" s="2" t="s">
        <v>12</v>
      </c>
      <c r="H25" s="7">
        <v>0</v>
      </c>
      <c r="I25" s="1" t="s">
        <v>13</v>
      </c>
      <c r="J25" s="1" t="s">
        <v>14</v>
      </c>
      <c r="K25" s="8">
        <v>0</v>
      </c>
    </row>
    <row r="30" spans="2:11" ht="3.75" customHeight="1" x14ac:dyDescent="0.25"/>
    <row r="31" spans="2:11" x14ac:dyDescent="0.25">
      <c r="B31" s="1" t="s">
        <v>16</v>
      </c>
      <c r="E31" s="6">
        <v>0</v>
      </c>
      <c r="F31" s="1" t="s">
        <v>13</v>
      </c>
    </row>
    <row r="33" spans="2:11" x14ac:dyDescent="0.25">
      <c r="D33" s="1" t="s">
        <v>17</v>
      </c>
      <c r="K33" s="13">
        <v>70109</v>
      </c>
    </row>
    <row r="34" spans="2:11" ht="3.75" customHeight="1" x14ac:dyDescent="0.25"/>
    <row r="35" spans="2:11" x14ac:dyDescent="0.25">
      <c r="G35" s="1" t="s">
        <v>18</v>
      </c>
      <c r="K35" s="8">
        <v>-70109</v>
      </c>
    </row>
    <row r="36" spans="2:11" x14ac:dyDescent="0.25">
      <c r="G36" s="1" t="s">
        <v>19</v>
      </c>
      <c r="I36" s="1" t="s">
        <v>20</v>
      </c>
      <c r="J36" s="1" t="s">
        <v>21</v>
      </c>
      <c r="K36" s="11">
        <v>-3856</v>
      </c>
    </row>
    <row r="37" spans="2:11" ht="3.75" customHeight="1" x14ac:dyDescent="0.25"/>
    <row r="38" spans="2:11" x14ac:dyDescent="0.25">
      <c r="G38" s="3" t="s">
        <v>22</v>
      </c>
      <c r="K38" s="5">
        <f>ROUND(SUM(K35:K36), 2)</f>
        <v>-73965</v>
      </c>
    </row>
    <row r="40" spans="2:11" x14ac:dyDescent="0.25">
      <c r="B40" s="1" t="s">
        <v>23</v>
      </c>
    </row>
    <row r="42" spans="2:11" x14ac:dyDescent="0.25">
      <c r="B42" s="1" t="s">
        <v>24</v>
      </c>
    </row>
    <row r="43" spans="2:11" x14ac:dyDescent="0.25">
      <c r="B43" s="1" t="s">
        <v>25</v>
      </c>
    </row>
    <row r="45" spans="2:11" x14ac:dyDescent="0.25">
      <c r="H45" s="3" t="s">
        <v>26</v>
      </c>
    </row>
    <row r="50" spans="2:8" x14ac:dyDescent="0.25">
      <c r="B50" s="1" t="s">
        <v>33</v>
      </c>
    </row>
    <row r="51" spans="2:8" x14ac:dyDescent="0.25">
      <c r="B51" s="1" t="s">
        <v>34</v>
      </c>
      <c r="H51" s="12">
        <v>-73965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4E9E-5DA5-4C71-B96D-B711801ADCB3}">
  <dimension ref="A8:K51"/>
  <sheetViews>
    <sheetView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77734375" style="1" customWidth="1"/>
    <col min="4" max="4" width="7.6640625" style="1" customWidth="1"/>
    <col min="5" max="5" width="11.88671875" style="1" customWidth="1"/>
    <col min="6" max="6" width="4.33203125" style="1" customWidth="1"/>
    <col min="7" max="7" width="3.21875" style="1" customWidth="1"/>
    <col min="8" max="8" width="13.109375" style="1" customWidth="1"/>
    <col min="9" max="9" width="5.21875" style="1" customWidth="1"/>
    <col min="10" max="10" width="3.33203125" style="1" customWidth="1"/>
    <col min="11" max="11" width="13.77734375" style="1" customWidth="1"/>
    <col min="12" max="16384" width="11.5546875" style="1"/>
  </cols>
  <sheetData>
    <row r="8" spans="1:7" x14ac:dyDescent="0.25">
      <c r="F8" s="1" t="s">
        <v>35</v>
      </c>
    </row>
    <row r="9" spans="1:7" x14ac:dyDescent="0.25">
      <c r="F9" s="1" t="s">
        <v>36</v>
      </c>
    </row>
    <row r="10" spans="1:7" x14ac:dyDescent="0.25">
      <c r="F10" s="1" t="s">
        <v>37</v>
      </c>
    </row>
    <row r="11" spans="1:7" x14ac:dyDescent="0.25">
      <c r="F11" s="1" t="s">
        <v>38</v>
      </c>
    </row>
    <row r="16" spans="1:7" x14ac:dyDescent="0.25">
      <c r="A16" s="1" t="s">
        <v>4</v>
      </c>
      <c r="G16" s="1" t="s">
        <v>5</v>
      </c>
    </row>
    <row r="20" spans="2:11" x14ac:dyDescent="0.25">
      <c r="B20" s="1" t="s">
        <v>6</v>
      </c>
    </row>
    <row r="22" spans="2:11" x14ac:dyDescent="0.25">
      <c r="B22" s="1" t="s">
        <v>7</v>
      </c>
    </row>
    <row r="23" spans="2:11" x14ac:dyDescent="0.25">
      <c r="B23" s="1" t="s">
        <v>8</v>
      </c>
    </row>
    <row r="25" spans="2:11" x14ac:dyDescent="0.25">
      <c r="B25" s="2" t="s">
        <v>9</v>
      </c>
      <c r="C25" s="4">
        <v>468</v>
      </c>
      <c r="D25" s="1" t="s">
        <v>10</v>
      </c>
      <c r="E25" s="5">
        <v>18.780999999999999</v>
      </c>
      <c r="F25" s="3" t="s">
        <v>11</v>
      </c>
      <c r="G25" s="2" t="s">
        <v>12</v>
      </c>
      <c r="H25" s="7">
        <v>0</v>
      </c>
      <c r="I25" s="1" t="s">
        <v>13</v>
      </c>
      <c r="J25" s="1" t="s">
        <v>14</v>
      </c>
      <c r="K25" s="8">
        <v>0</v>
      </c>
    </row>
    <row r="30" spans="2:11" ht="3.75" customHeight="1" x14ac:dyDescent="0.25"/>
    <row r="31" spans="2:11" x14ac:dyDescent="0.25">
      <c r="B31" s="1" t="s">
        <v>16</v>
      </c>
      <c r="E31" s="6">
        <v>0</v>
      </c>
      <c r="F31" s="1" t="s">
        <v>13</v>
      </c>
    </row>
    <row r="33" spans="2:11" x14ac:dyDescent="0.25">
      <c r="D33" s="1" t="s">
        <v>17</v>
      </c>
      <c r="K33" s="13">
        <v>122076.5</v>
      </c>
    </row>
    <row r="34" spans="2:11" ht="3.75" customHeight="1" x14ac:dyDescent="0.25"/>
    <row r="35" spans="2:11" x14ac:dyDescent="0.25">
      <c r="G35" s="1" t="s">
        <v>18</v>
      </c>
      <c r="K35" s="8">
        <v>-122076.5</v>
      </c>
    </row>
    <row r="36" spans="2:11" x14ac:dyDescent="0.25">
      <c r="G36" s="1" t="s">
        <v>19</v>
      </c>
      <c r="I36" s="1" t="s">
        <v>20</v>
      </c>
      <c r="J36" s="1" t="s">
        <v>21</v>
      </c>
      <c r="K36" s="11">
        <v>-6714.21</v>
      </c>
    </row>
    <row r="37" spans="2:11" ht="3.75" customHeight="1" x14ac:dyDescent="0.25"/>
    <row r="38" spans="2:11" x14ac:dyDescent="0.25">
      <c r="G38" s="3" t="s">
        <v>22</v>
      </c>
      <c r="K38" s="5">
        <f>ROUND(SUM(K35:K36), 2)</f>
        <v>-128790.71</v>
      </c>
    </row>
    <row r="40" spans="2:11" x14ac:dyDescent="0.25">
      <c r="B40" s="1" t="s">
        <v>23</v>
      </c>
    </row>
    <row r="42" spans="2:11" x14ac:dyDescent="0.25">
      <c r="B42" s="1" t="s">
        <v>24</v>
      </c>
    </row>
    <row r="43" spans="2:11" x14ac:dyDescent="0.25">
      <c r="B43" s="1" t="s">
        <v>25</v>
      </c>
    </row>
    <row r="45" spans="2:11" x14ac:dyDescent="0.25">
      <c r="H45" s="3" t="s">
        <v>26</v>
      </c>
    </row>
    <row r="50" spans="2:8" x14ac:dyDescent="0.25">
      <c r="B50" s="1" t="s">
        <v>39</v>
      </c>
    </row>
    <row r="51" spans="2:8" x14ac:dyDescent="0.25">
      <c r="B51" s="1" t="s">
        <v>40</v>
      </c>
      <c r="H51" s="12">
        <v>-128790.71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B360-CE02-48A5-A112-0AC077A1EE6D}">
  <dimension ref="A8:K51"/>
  <sheetViews>
    <sheetView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77734375" style="1" customWidth="1"/>
    <col min="4" max="4" width="7.6640625" style="1" customWidth="1"/>
    <col min="5" max="5" width="11.88671875" style="1" customWidth="1"/>
    <col min="6" max="6" width="4.33203125" style="1" customWidth="1"/>
    <col min="7" max="7" width="3.21875" style="1" customWidth="1"/>
    <col min="8" max="8" width="13.109375" style="1" customWidth="1"/>
    <col min="9" max="9" width="5.21875" style="1" customWidth="1"/>
    <col min="10" max="10" width="3.33203125" style="1" customWidth="1"/>
    <col min="11" max="11" width="13.77734375" style="1" customWidth="1"/>
    <col min="12" max="16384" width="11.5546875" style="1"/>
  </cols>
  <sheetData>
    <row r="8" spans="1:7" x14ac:dyDescent="0.25">
      <c r="F8" s="1" t="s">
        <v>41</v>
      </c>
    </row>
    <row r="9" spans="1:7" x14ac:dyDescent="0.25">
      <c r="F9" s="1" t="s">
        <v>42</v>
      </c>
    </row>
    <row r="10" spans="1:7" x14ac:dyDescent="0.25">
      <c r="F10" s="1" t="s">
        <v>43</v>
      </c>
    </row>
    <row r="11" spans="1:7" x14ac:dyDescent="0.25">
      <c r="F11" s="1" t="s">
        <v>44</v>
      </c>
    </row>
    <row r="16" spans="1:7" x14ac:dyDescent="0.25">
      <c r="A16" s="1" t="s">
        <v>4</v>
      </c>
      <c r="G16" s="1" t="s">
        <v>5</v>
      </c>
    </row>
    <row r="20" spans="2:11" x14ac:dyDescent="0.25">
      <c r="B20" s="1" t="s">
        <v>6</v>
      </c>
    </row>
    <row r="22" spans="2:11" x14ac:dyDescent="0.25">
      <c r="B22" s="1" t="s">
        <v>7</v>
      </c>
    </row>
    <row r="23" spans="2:11" x14ac:dyDescent="0.25">
      <c r="B23" s="1" t="s">
        <v>45</v>
      </c>
    </row>
    <row r="25" spans="2:11" x14ac:dyDescent="0.25">
      <c r="B25" s="2" t="s">
        <v>9</v>
      </c>
      <c r="C25" s="4">
        <v>517</v>
      </c>
      <c r="D25" s="1" t="s">
        <v>10</v>
      </c>
      <c r="E25" s="5">
        <v>19.850999999999999</v>
      </c>
      <c r="F25" s="3" t="s">
        <v>11</v>
      </c>
      <c r="G25" s="2" t="s">
        <v>12</v>
      </c>
      <c r="H25" s="7">
        <v>0</v>
      </c>
      <c r="I25" s="1" t="s">
        <v>13</v>
      </c>
      <c r="J25" s="1" t="s">
        <v>14</v>
      </c>
      <c r="K25" s="8">
        <v>0</v>
      </c>
    </row>
    <row r="30" spans="2:11" ht="3.75" customHeight="1" x14ac:dyDescent="0.25"/>
    <row r="31" spans="2:11" x14ac:dyDescent="0.25">
      <c r="B31" s="1" t="s">
        <v>16</v>
      </c>
      <c r="E31" s="6">
        <v>0</v>
      </c>
      <c r="F31" s="1" t="s">
        <v>13</v>
      </c>
    </row>
    <row r="33" spans="2:11" x14ac:dyDescent="0.25">
      <c r="D33" s="1" t="s">
        <v>17</v>
      </c>
      <c r="K33" s="13">
        <v>128038.95</v>
      </c>
    </row>
    <row r="34" spans="2:11" ht="3.75" customHeight="1" x14ac:dyDescent="0.25"/>
    <row r="35" spans="2:11" x14ac:dyDescent="0.25">
      <c r="G35" s="1" t="s">
        <v>18</v>
      </c>
      <c r="K35" s="8">
        <v>-128038.95</v>
      </c>
    </row>
    <row r="36" spans="2:11" x14ac:dyDescent="0.25">
      <c r="G36" s="1" t="s">
        <v>19</v>
      </c>
      <c r="I36" s="1" t="s">
        <v>20</v>
      </c>
      <c r="J36" s="1" t="s">
        <v>21</v>
      </c>
      <c r="K36" s="11">
        <v>-7042.14</v>
      </c>
    </row>
    <row r="37" spans="2:11" ht="3.75" customHeight="1" x14ac:dyDescent="0.25"/>
    <row r="38" spans="2:11" x14ac:dyDescent="0.25">
      <c r="G38" s="3" t="s">
        <v>22</v>
      </c>
      <c r="K38" s="5">
        <f>ROUND(SUM(K35:K36), 2)</f>
        <v>-135081.09</v>
      </c>
    </row>
    <row r="40" spans="2:11" x14ac:dyDescent="0.25">
      <c r="B40" s="1" t="s">
        <v>23</v>
      </c>
    </row>
    <row r="42" spans="2:11" x14ac:dyDescent="0.25">
      <c r="B42" s="1" t="s">
        <v>24</v>
      </c>
    </row>
    <row r="43" spans="2:11" x14ac:dyDescent="0.25">
      <c r="B43" s="1" t="s">
        <v>25</v>
      </c>
    </row>
    <row r="45" spans="2:11" x14ac:dyDescent="0.25">
      <c r="H45" s="3" t="s">
        <v>26</v>
      </c>
    </row>
    <row r="50" spans="2:8" x14ac:dyDescent="0.25">
      <c r="B50" s="1" t="s">
        <v>46</v>
      </c>
    </row>
    <row r="51" spans="2:8" x14ac:dyDescent="0.25">
      <c r="B51" s="1" t="s">
        <v>47</v>
      </c>
      <c r="H51" s="12">
        <v>-135081.09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3B71-24E7-4D64-AE7B-6527C5450D15}">
  <dimension ref="A8:K51"/>
  <sheetViews>
    <sheetView tabSelected="1"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77734375" style="1" customWidth="1"/>
    <col min="4" max="4" width="7.6640625" style="1" customWidth="1"/>
    <col min="5" max="5" width="11.88671875" style="1" customWidth="1"/>
    <col min="6" max="6" width="4.33203125" style="1" customWidth="1"/>
    <col min="7" max="7" width="3.21875" style="1" customWidth="1"/>
    <col min="8" max="8" width="13.109375" style="1" customWidth="1"/>
    <col min="9" max="9" width="5.21875" style="1" customWidth="1"/>
    <col min="10" max="10" width="3.33203125" style="1" customWidth="1"/>
    <col min="11" max="11" width="13.77734375" style="1" customWidth="1"/>
    <col min="12" max="16384" width="11.5546875" style="1"/>
  </cols>
  <sheetData>
    <row r="8" spans="1:7" x14ac:dyDescent="0.25">
      <c r="F8" s="1" t="s">
        <v>48</v>
      </c>
    </row>
    <row r="9" spans="1:7" x14ac:dyDescent="0.25">
      <c r="F9" s="1" t="s">
        <v>49</v>
      </c>
    </row>
    <row r="10" spans="1:7" x14ac:dyDescent="0.25">
      <c r="F10" s="1" t="s">
        <v>50</v>
      </c>
    </row>
    <row r="11" spans="1:7" x14ac:dyDescent="0.25">
      <c r="F11" s="1" t="s">
        <v>51</v>
      </c>
    </row>
    <row r="16" spans="1:7" x14ac:dyDescent="0.25">
      <c r="A16" s="1" t="s">
        <v>4</v>
      </c>
      <c r="G16" s="1" t="s">
        <v>5</v>
      </c>
    </row>
    <row r="20" spans="2:11" x14ac:dyDescent="0.25">
      <c r="B20" s="1" t="s">
        <v>6</v>
      </c>
    </row>
    <row r="22" spans="2:11" x14ac:dyDescent="0.25">
      <c r="B22" s="1" t="s">
        <v>7</v>
      </c>
    </row>
    <row r="23" spans="2:11" x14ac:dyDescent="0.25">
      <c r="B23" s="1" t="s">
        <v>45</v>
      </c>
    </row>
    <row r="25" spans="2:11" x14ac:dyDescent="0.25">
      <c r="B25" s="2" t="s">
        <v>9</v>
      </c>
      <c r="C25" s="4">
        <v>246</v>
      </c>
      <c r="D25" s="1" t="s">
        <v>10</v>
      </c>
      <c r="E25" s="5">
        <v>9.7910000000000004</v>
      </c>
      <c r="F25" s="3" t="s">
        <v>11</v>
      </c>
      <c r="G25" s="2" t="s">
        <v>12</v>
      </c>
      <c r="H25" s="7">
        <v>0</v>
      </c>
      <c r="I25" s="1" t="s">
        <v>13</v>
      </c>
      <c r="J25" s="1" t="s">
        <v>14</v>
      </c>
      <c r="K25" s="8">
        <v>0</v>
      </c>
    </row>
    <row r="30" spans="2:11" ht="3.75" customHeight="1" x14ac:dyDescent="0.25"/>
    <row r="31" spans="2:11" x14ac:dyDescent="0.25">
      <c r="B31" s="1" t="s">
        <v>16</v>
      </c>
      <c r="E31" s="6">
        <v>0</v>
      </c>
      <c r="F31" s="1" t="s">
        <v>13</v>
      </c>
    </row>
    <row r="33" spans="2:11" x14ac:dyDescent="0.25">
      <c r="D33" s="1" t="s">
        <v>17</v>
      </c>
      <c r="K33" s="13">
        <v>63151.95</v>
      </c>
    </row>
    <row r="34" spans="2:11" ht="3.75" customHeight="1" x14ac:dyDescent="0.25"/>
    <row r="35" spans="2:11" x14ac:dyDescent="0.25">
      <c r="G35" s="1" t="s">
        <v>18</v>
      </c>
      <c r="K35" s="8">
        <v>-63151.95</v>
      </c>
    </row>
    <row r="36" spans="2:11" x14ac:dyDescent="0.25">
      <c r="G36" s="1" t="s">
        <v>19</v>
      </c>
      <c r="I36" s="1" t="s">
        <v>20</v>
      </c>
      <c r="J36" s="1" t="s">
        <v>21</v>
      </c>
      <c r="K36" s="11">
        <v>-3473.36</v>
      </c>
    </row>
    <row r="37" spans="2:11" ht="3.75" customHeight="1" x14ac:dyDescent="0.25"/>
    <row r="38" spans="2:11" x14ac:dyDescent="0.25">
      <c r="G38" s="3" t="s">
        <v>22</v>
      </c>
      <c r="K38" s="5">
        <f>ROUND(SUM(K35:K36), 2)</f>
        <v>-66625.31</v>
      </c>
    </row>
    <row r="40" spans="2:11" x14ac:dyDescent="0.25">
      <c r="B40" s="1" t="s">
        <v>23</v>
      </c>
    </row>
    <row r="42" spans="2:11" x14ac:dyDescent="0.25">
      <c r="B42" s="1" t="s">
        <v>24</v>
      </c>
    </row>
    <row r="43" spans="2:11" x14ac:dyDescent="0.25">
      <c r="B43" s="1" t="s">
        <v>25</v>
      </c>
    </row>
    <row r="45" spans="2:11" x14ac:dyDescent="0.25">
      <c r="H45" s="3" t="s">
        <v>26</v>
      </c>
    </row>
    <row r="50" spans="2:8" x14ac:dyDescent="0.25">
      <c r="B50" s="1" t="s">
        <v>52</v>
      </c>
    </row>
    <row r="51" spans="2:8" x14ac:dyDescent="0.25">
      <c r="B51" s="1" t="s">
        <v>53</v>
      </c>
      <c r="H51" s="12">
        <v>-66625.31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SCAF GRANGE DE VAIVRE    </vt:lpstr>
      <vt:lpstr>SCAF BRESSE JURASSIENNE  </vt:lpstr>
      <vt:lpstr>COOP MONTS DE JOUX</vt:lpstr>
      <vt:lpstr>SCAF LONGEVELLE-RUSSEY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2024-07-15T08:59:30Z</dcterms:created>
  <dcterms:modified xsi:type="dcterms:W3CDTF">2024-07-15T08:59:38Z</dcterms:modified>
</cp:coreProperties>
</file>