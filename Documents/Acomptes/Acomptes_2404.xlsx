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BB10EA2C-83C2-4F7D-8111-9754FA108594}" xr6:coauthVersionLast="47" xr6:coauthVersionMax="47" xr10:uidLastSave="{00000000-0000-0000-0000-000000000000}"/>
  <bookViews>
    <workbookView xWindow="-24390" yWindow="2685" windowWidth="21600" windowHeight="11295" firstSheet="3" activeTab="5" xr2:uid="{0E496FD6-C4C3-46D7-AD4F-CF3D98897611}"/>
  </bookViews>
  <sheets>
    <sheet name="Feuil1" sheetId="1" r:id="rId1"/>
    <sheet name="SCAF GRANGE DE VAIVRE    " sheetId="2" r:id="rId2"/>
    <sheet name="SCAF BRESSE JURASSIENNE  " sheetId="3" r:id="rId3"/>
    <sheet name="SCAF LONGEVELLE-RUSSEY   " sheetId="4" r:id="rId4"/>
    <sheet name="GD COMBE CHATELEU     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6" l="1"/>
  <c r="J33" i="6"/>
  <c r="J31" i="6"/>
  <c r="J30" i="6"/>
  <c r="J28" i="6"/>
  <c r="J47" i="5"/>
  <c r="J33" i="5"/>
  <c r="J31" i="5"/>
  <c r="J30" i="5"/>
  <c r="J28" i="5"/>
  <c r="J50" i="4"/>
  <c r="J36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<sst xmlns="http://schemas.openxmlformats.org/spreadsheetml/2006/main" count="116" uniqueCount="44">
  <si>
    <t>Mr Frédéric PONCET</t>
  </si>
  <si>
    <t xml:space="preserve">                         </t>
  </si>
  <si>
    <t xml:space="preserve">39600 GRANGE DE VAIVRE         </t>
  </si>
  <si>
    <t xml:space="preserve">      TB/PB</t>
  </si>
  <si>
    <t>Monsieur le Président</t>
  </si>
  <si>
    <t xml:space="preserve">          Nous vous prions de bien vouloir trouver ci-dessous, le détail</t>
  </si>
  <si>
    <t>du premier acompte sur votre lot de fabrication AVRIL 2024</t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</si>
  <si>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</si>
  <si>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</si>
  <si>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</si>
  <si>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</si>
  <si>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</si>
  <si>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</si>
  <si>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</si>
  <si>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</si>
  <si>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</si>
  <si>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</si>
  <si>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</si>
  <si>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</si>
  <si>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</si>
  <si>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</si>
  <si>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</si>
  <si>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</si>
  <si>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</si>
  <si>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</si>
  <si>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</si>
  <si>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</si>
  <si>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</si>
  <si>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Mr Johann DEVAUX</t>
  </si>
  <si>
    <t xml:space="preserve">2, rue du Conot          </t>
  </si>
  <si>
    <t xml:space="preserve">25380  CHARMOILLE              </t>
  </si>
  <si>
    <t>A déduire N/Facture n° 113430 du 20/05/24</t>
  </si>
  <si>
    <t>PS : Nous virons ce jour, sur votre compte N° 12506 20017 11707951010 37</t>
  </si>
  <si>
    <t>CAFC SANCEY LE GRAND    , la somme de</t>
  </si>
  <si>
    <t>Atelier Gd Combe Chateleu</t>
  </si>
  <si>
    <t>36 Rue Laurent Troutet</t>
  </si>
  <si>
    <t xml:space="preserve">25560 BANNANS                  </t>
  </si>
  <si>
    <t xml:space="preserve">PS : Nous virons ce jour, sur votre compte N° 0 0               </t>
  </si>
  <si>
    <t xml:space="preserve">                        , la somme de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</si>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</sst>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75586-E990-40D1-B437-6FAEEC6D253C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C1A2-782B-402E-93D7-6ACCD901F9DF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0</v>
      </c>
    </row>
    <row r="12" spans="6:6" x14ac:dyDescent="0.2">
      <c r="F12" s="1" t="s">
        <v>1</v>
      </c>
    </row>
    <row r="13" spans="6:6" x14ac:dyDescent="0.2">
      <c r="F13" s="1" t="s">
        <v>2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108</v>
      </c>
      <c r="D28" s="1" t="s">
        <v>8</v>
      </c>
      <c r="E28" s="5">
        <v>4.0110000000000001</v>
      </c>
      <c r="F28" s="6" t="s">
        <v>9</v>
      </c>
      <c r="G28" s="7" t="s">
        <v>10</v>
      </c>
      <c r="H28" s="8">
        <v>6700</v>
      </c>
      <c r="I28" s="9" t="s">
        <v>11</v>
      </c>
      <c r="J28" s="11">
        <f>ROUND(+E28*H28, 2)</f>
        <v>26873.7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26873.7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1478.05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28351.75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21</v>
      </c>
    </row>
    <row r="47" spans="2:10" x14ac:dyDescent="0.2">
      <c r="B47" s="1" t="s">
        <v>22</v>
      </c>
      <c r="J47" s="10">
        <f>+J33</f>
        <v>28351.75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72305-65D7-45F4-BF6C-CC7B802D103A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23</v>
      </c>
    </row>
    <row r="12" spans="6:6" x14ac:dyDescent="0.2">
      <c r="F12" s="1" t="s">
        <v>24</v>
      </c>
    </row>
    <row r="13" spans="6:6" x14ac:dyDescent="0.2">
      <c r="F13" s="1" t="s">
        <v>25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400</v>
      </c>
      <c r="D28" s="1" t="s">
        <v>8</v>
      </c>
      <c r="E28" s="5">
        <v>14.763</v>
      </c>
      <c r="F28" s="6" t="s">
        <v>9</v>
      </c>
      <c r="G28" s="7" t="s">
        <v>10</v>
      </c>
      <c r="H28" s="8">
        <v>6700</v>
      </c>
      <c r="I28" s="9" t="s">
        <v>11</v>
      </c>
      <c r="J28" s="11">
        <f>ROUND(+E28*H28, 2)</f>
        <v>98912.1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98912.1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5440.17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104352.27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26</v>
      </c>
    </row>
    <row r="47" spans="2:10" x14ac:dyDescent="0.2">
      <c r="B47" s="1" t="s">
        <v>27</v>
      </c>
      <c r="J47" s="10">
        <f>+J33</f>
        <v>104352.27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A9F81-7725-4CB3-A823-4680B7016743}">
  <dimension ref="A11:J50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28</v>
      </c>
    </row>
    <row r="12" spans="6:6" x14ac:dyDescent="0.2">
      <c r="F12" s="1" t="s">
        <v>29</v>
      </c>
    </row>
    <row r="13" spans="6:6" x14ac:dyDescent="0.2">
      <c r="F13" s="1" t="s">
        <v>30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626</v>
      </c>
      <c r="D28" s="1" t="s">
        <v>8</v>
      </c>
      <c r="E28" s="5">
        <v>24.433</v>
      </c>
      <c r="F28" s="6" t="s">
        <v>9</v>
      </c>
      <c r="G28" s="7" t="s">
        <v>10</v>
      </c>
      <c r="H28" s="8">
        <v>6700</v>
      </c>
      <c r="I28" s="9" t="s">
        <v>11</v>
      </c>
      <c r="J28" s="11">
        <f>ROUND(+E28*H28, 2)</f>
        <v>163701.1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163701.1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9003.56</v>
      </c>
    </row>
    <row r="32" spans="1:10" ht="4.1500000000000004" customHeight="1" x14ac:dyDescent="0.2"/>
    <row r="33" spans="2:10" x14ac:dyDescent="0.2">
      <c r="J33" s="10">
        <f>SUM(J30:J31)</f>
        <v>172704.66</v>
      </c>
    </row>
    <row r="34" spans="2:10" x14ac:dyDescent="0.2">
      <c r="B34" s="1" t="s">
        <v>31</v>
      </c>
      <c r="J34" s="10">
        <v>-2147.7800000000002</v>
      </c>
    </row>
    <row r="36" spans="2:10" ht="15" x14ac:dyDescent="0.25">
      <c r="F36" s="3" t="s">
        <v>16</v>
      </c>
      <c r="J36" s="14">
        <f>SUM(J33:J35)</f>
        <v>170556.88</v>
      </c>
    </row>
    <row r="38" spans="2:10" x14ac:dyDescent="0.2">
      <c r="B38" s="1" t="s">
        <v>17</v>
      </c>
    </row>
    <row r="40" spans="2:10" x14ac:dyDescent="0.2">
      <c r="B40" s="1" t="s">
        <v>18</v>
      </c>
    </row>
    <row r="41" spans="2:10" x14ac:dyDescent="0.2">
      <c r="B41" s="1" t="s">
        <v>19</v>
      </c>
    </row>
    <row r="43" spans="2:10" ht="15" x14ac:dyDescent="0.25">
      <c r="H43" s="3" t="s">
        <v>20</v>
      </c>
    </row>
    <row r="49" spans="2:10" x14ac:dyDescent="0.2">
      <c r="B49" s="1" t="s">
        <v>32</v>
      </c>
    </row>
    <row r="50" spans="2:10" x14ac:dyDescent="0.2">
      <c r="B50" s="1" t="s">
        <v>33</v>
      </c>
      <c r="J50" s="10">
        <f>+J36</f>
        <v>170556.88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FBB3-6331-4694-A5C3-4DD909B10153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34</v>
      </c>
    </row>
    <row r="12" spans="6:6" x14ac:dyDescent="0.2">
      <c r="F12" s="1" t="s">
        <v>35</v>
      </c>
    </row>
    <row r="13" spans="6:6" x14ac:dyDescent="0.2">
      <c r="F13" s="1" t="s">
        <v>36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455</v>
      </c>
      <c r="D28" s="1" t="s">
        <v>8</v>
      </c>
      <c r="E28" s="5">
        <v>17.599</v>
      </c>
      <c r="F28" s="6" t="s">
        <v>9</v>
      </c>
      <c r="G28" s="7" t="s">
        <v>10</v>
      </c>
      <c r="H28" s="8">
        <v>6700</v>
      </c>
      <c r="I28" s="9" t="s">
        <v>11</v>
      </c>
      <c r="J28" s="11">
        <f>ROUND(+E28*H28, 2)</f>
        <v>117913.3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117913.3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6485.23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124398.53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37</v>
      </c>
    </row>
    <row r="47" spans="2:10" x14ac:dyDescent="0.2">
      <c r="B47" s="1" t="s">
        <v>38</v>
      </c>
      <c r="J47" s="10">
        <f>+J33</f>
        <v>124398.53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5E34E-C578-4F78-9DC6-1CF74432D410}">
  <dimension ref="A11:J47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39</v>
      </c>
    </row>
    <row r="12" spans="6:6" x14ac:dyDescent="0.2">
      <c r="F12" s="1" t="s">
        <v>40</v>
      </c>
    </row>
    <row r="13" spans="6:6" x14ac:dyDescent="0.2">
      <c r="F13" s="1" t="s">
        <v>41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516</v>
      </c>
      <c r="D28" s="1" t="s">
        <v>8</v>
      </c>
      <c r="E28" s="5">
        <v>20.658000000000001</v>
      </c>
      <c r="F28" s="6" t="s">
        <v>9</v>
      </c>
      <c r="G28" s="7" t="s">
        <v>10</v>
      </c>
      <c r="H28" s="8">
        <v>6700</v>
      </c>
      <c r="I28" s="9" t="s">
        <v>11</v>
      </c>
      <c r="J28" s="11">
        <f>ROUND(+E28*H28, 2)</f>
        <v>138408.6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138408.6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7612.47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146021.07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42</v>
      </c>
    </row>
    <row r="47" spans="2:10" x14ac:dyDescent="0.2">
      <c r="B47" s="1" t="s">
        <v>43</v>
      </c>
      <c r="J47" s="10">
        <f>+J33</f>
        <v>146021.07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2024-07-24T12:11:25Z</dcterms:created>
  <dcterms:modified xsi:type="dcterms:W3CDTF">2024-07-24T12:11:31Z</dcterms:modified>
</cp:coreProperties>
</file>