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pfProject\Gestcom\Documents\Acomptes\"/>
    </mc:Choice>
  </mc:AlternateContent>
  <xr:revisionPtr revIDLastSave="0" documentId="8_{2C8B60C7-7D54-4BFE-8FF1-AAE8D21959A1}" xr6:coauthVersionLast="47" xr6:coauthVersionMax="47" xr10:uidLastSave="{00000000-0000-0000-0000-000000000000}"/>
  <bookViews>
    <workbookView xWindow="4128" yWindow="3396" windowWidth="17280" windowHeight="8964" firstSheet="4" activeTab="5" xr2:uid="{698689BB-8D33-47AB-978F-6213B303DB7D}"/>
  </bookViews>
  <sheets>
    <sheet name="Feuil1" sheetId="1" r:id="rId1"/>
    <sheet name="SCAF GRANGE DE VAIVRE    " sheetId="2" r:id="rId2"/>
    <sheet name="SCAF BRESSE JURASSIENNE  " sheetId="3" r:id="rId3"/>
    <sheet name="SCAF LONGEVELLE-RUSSEY   " sheetId="4" r:id="rId4"/>
    <sheet name="GD COMBE CHATELEU        " sheetId="5" r:id="rId5"/>
    <sheet name="SCAF LAVANS VUILLAFANS   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7" i="6" l="1"/>
  <c r="J33" i="6"/>
  <c r="J31" i="6"/>
  <c r="J30" i="6"/>
  <c r="J28" i="6"/>
  <c r="J47" i="5"/>
  <c r="J33" i="5"/>
  <c r="J31" i="5"/>
  <c r="J30" i="5"/>
  <c r="J28" i="5"/>
  <c r="J50" i="4"/>
  <c r="J36" i="4"/>
  <c r="J33" i="4"/>
  <c r="J31" i="4"/>
  <c r="J30" i="4"/>
  <c r="J28" i="4"/>
  <c r="J47" i="3"/>
  <c r="J33" i="3"/>
  <c r="J31" i="3"/>
  <c r="J30" i="3"/>
  <c r="J28" i="3"/>
  <c r="J47" i="2"/>
  <c r="J33" i="2"/>
  <c r="J31" i="2"/>
  <c r="J30" i="2"/>
  <c r="J28" i="2"/>
</calcChain>
</file>

<file path=xl/sharedStrings.xml><?xml version="1.0" encoding="utf-8"?>
<sst xmlns="http://schemas.openxmlformats.org/spreadsheetml/2006/main" count="121" uniqueCount="49">
  <si>
    <t>SCAF DE LA FRUITIERE DU VAL DE LOUE</t>
  </si>
  <si>
    <t>Mr Frédéric PONCET</t>
  </si>
  <si>
    <t xml:space="preserve">                         </t>
  </si>
  <si>
    <t xml:space="preserve">39600 GRANGE DE VAIVRE         </t>
  </si>
  <si>
    <t xml:space="preserve">      TB/PB</t>
  </si>
  <si>
    <t>Monsieur le Président</t>
  </si>
  <si>
    <t xml:space="preserve">          Nous vous prions de bien vouloir trouver ci-dessous, le détail</t>
  </si>
  <si>
    <t>du premier acompte sur votre lot de fabrication AVRIL 2024</t>
  </si>
  <si>
    <t>-</t>
  </si>
  <si>
    <t>pains</t>
  </si>
  <si>
    <t>T</t>
  </si>
  <si>
    <t>x</t>
  </si>
  <si>
    <t xml:space="preserve"> =</t>
  </si>
  <si>
    <t>Total HT</t>
  </si>
  <si>
    <t>T.V.A</t>
  </si>
  <si>
    <t>5,5</t>
  </si>
  <si>
    <t>%</t>
  </si>
  <si>
    <t>Total Réglé</t>
  </si>
  <si>
    <t xml:space="preserve">          Vous en souhaitant bonne réception</t>
  </si>
  <si>
    <t xml:space="preserve">          Nous vous prions d'agréer, Monsieur le Président, nos</t>
  </si>
  <si>
    <t>salutations distinguées</t>
  </si>
  <si>
    <t>Service Comptabilité</t>
  </si>
  <si>
    <t>PS : Nous virons ce jour, sur votre compte N° 12506 39029 50546581010 11</t>
  </si>
  <si>
    <t>CAFC SALINS LES BAINS   , la somme de</t>
  </si>
  <si>
    <t>SCAF BRESSE JURASSIENNE</t>
  </si>
  <si>
    <t>Mr Benoit COTE</t>
  </si>
  <si>
    <t>3 Pace de la Mairie</t>
  </si>
  <si>
    <t xml:space="preserve">39140  DESNES                  </t>
  </si>
  <si>
    <t>PS : Nous virons ce jour, sur votre compte N° 12506 39023 40357496000 54</t>
  </si>
  <si>
    <t>CAFC POLIGNY            , la somme de</t>
  </si>
  <si>
    <t>SCAF DE LONGEVELLE</t>
  </si>
  <si>
    <t>Mr Johann DEVAUX</t>
  </si>
  <si>
    <t xml:space="preserve">2, rue du Conot          </t>
  </si>
  <si>
    <t xml:space="preserve">25380  CHARMOILLE              </t>
  </si>
  <si>
    <t>A déduire N/Facture n° 113430 du 31/05/24</t>
  </si>
  <si>
    <t>PS : Nous virons ce jour, sur votre compte N° 12506 20017 11707951010 37</t>
  </si>
  <si>
    <t>CAFC SANCEY LE GRAND    , la somme de</t>
  </si>
  <si>
    <t>COOPERATIVE DES MONTS DE JOUX</t>
  </si>
  <si>
    <t>Atelier Gd Combe Chateleu</t>
  </si>
  <si>
    <t>36 Rue Laurent Troutet</t>
  </si>
  <si>
    <t xml:space="preserve">25560 BANNANS                  </t>
  </si>
  <si>
    <t xml:space="preserve">PS : Nous virons ce jour, sur votre compte N° 0 0               </t>
  </si>
  <si>
    <t xml:space="preserve">                        , la somme de</t>
  </si>
  <si>
    <t>SCAF DE LAVANS VUILLAFANS</t>
  </si>
  <si>
    <t>Mr Joany LEPINE</t>
  </si>
  <si>
    <t>6 Chemin des Clos Ronds</t>
  </si>
  <si>
    <t xml:space="preserve">25380  LAVANS VUILLAFANS       </t>
  </si>
  <si>
    <t>PS : Nous virons ce jour, sur votre compte N° 10807 6 22321737995 58</t>
  </si>
  <si>
    <t>BNP ORNANS              , la somme 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</si>
</sst>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.000"/>
    <numFmt numFmtId="165" formatCode="#\ ##0.00\ &quot;€&quot;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165" fontId="1" fillId="0" borderId="0" xfId="0" applyNumberFormat="1" applyFont="1"/>
    <xf numFmtId="165" fontId="1" fillId="0" borderId="1" xfId="0" applyNumberFormat="1" applyFont="1" applyBorder="1" applyAlignment="1">
      <alignment horizontal="right"/>
    </xf>
    <xf numFmtId="165" fontId="1" fillId="0" borderId="1" xfId="0" applyNumberFormat="1" applyFont="1" applyBorder="1"/>
    <xf numFmtId="165" fontId="2" fillId="0" borderId="0" xfId="0" applyNumberFormat="1" applyFont="1"/>
    <xf numFmtId="165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D0342-C28B-43C0-8136-47FD20EE5E24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93AA7-02A1-4E83-9D96-A73DD2022A10}">
  <dimension ref="A10:J47"/>
  <sheetViews>
    <sheetView workbookViewId="0"/>
  </sheetViews>
  <sheetFormatPr baseColWidth="10" defaultRowHeight="13.8" x14ac:dyDescent="0.25"/>
  <cols>
    <col min="1" max="1" width="11.77734375" style="1" customWidth="1"/>
    <col min="2" max="2" width="4.33203125" style="1" customWidth="1"/>
    <col min="3" max="3" width="6.6640625" style="1" customWidth="1"/>
    <col min="4" max="4" width="7.5546875" style="1" customWidth="1"/>
    <col min="5" max="5" width="11.88671875" style="1" customWidth="1"/>
    <col min="6" max="6" width="4.33203125" style="1" customWidth="1"/>
    <col min="7" max="7" width="3.109375" style="1" customWidth="1"/>
    <col min="8" max="8" width="13" style="1" customWidth="1"/>
    <col min="9" max="9" width="5.109375" style="1" customWidth="1"/>
    <col min="10" max="10" width="16" style="1" customWidth="1"/>
    <col min="11" max="16384" width="11.5546875" style="1"/>
  </cols>
  <sheetData>
    <row r="10" spans="6:6" x14ac:dyDescent="0.25">
      <c r="F10" s="1" t="s">
        <v>0</v>
      </c>
    </row>
    <row r="11" spans="6:6" x14ac:dyDescent="0.25">
      <c r="F11" s="1" t="s">
        <v>1</v>
      </c>
    </row>
    <row r="12" spans="6:6" x14ac:dyDescent="0.25">
      <c r="F12" s="1" t="s">
        <v>2</v>
      </c>
    </row>
    <row r="13" spans="6:6" x14ac:dyDescent="0.25">
      <c r="F13" s="1" t="s">
        <v>3</v>
      </c>
    </row>
    <row r="18" spans="1:10" x14ac:dyDescent="0.25">
      <c r="A18" s="1" t="s">
        <v>4</v>
      </c>
    </row>
    <row r="23" spans="1:10" x14ac:dyDescent="0.25">
      <c r="B23" s="1" t="s">
        <v>5</v>
      </c>
    </row>
    <row r="25" spans="1:10" x14ac:dyDescent="0.25">
      <c r="B25" s="1" t="s">
        <v>6</v>
      </c>
    </row>
    <row r="26" spans="1:10" x14ac:dyDescent="0.25">
      <c r="B26" s="1" t="s">
        <v>7</v>
      </c>
    </row>
    <row r="28" spans="1:10" x14ac:dyDescent="0.25">
      <c r="B28" s="2" t="s">
        <v>8</v>
      </c>
      <c r="C28" s="4">
        <v>108</v>
      </c>
      <c r="D28" s="1" t="s">
        <v>9</v>
      </c>
      <c r="E28" s="5">
        <v>4.0110000000000001</v>
      </c>
      <c r="F28" s="6" t="s">
        <v>10</v>
      </c>
      <c r="G28" s="7" t="s">
        <v>11</v>
      </c>
      <c r="H28" s="8">
        <v>6700</v>
      </c>
      <c r="I28" s="9" t="s">
        <v>12</v>
      </c>
      <c r="J28" s="11">
        <f>ROUND(+E28*H28, 2)</f>
        <v>26873.7</v>
      </c>
    </row>
    <row r="29" spans="1:10" ht="4.2" customHeight="1" x14ac:dyDescent="0.25"/>
    <row r="30" spans="1:10" x14ac:dyDescent="0.25">
      <c r="F30" s="1" t="s">
        <v>13</v>
      </c>
      <c r="J30" s="8">
        <f>+J28</f>
        <v>26873.7</v>
      </c>
    </row>
    <row r="31" spans="1:10" x14ac:dyDescent="0.25">
      <c r="F31" s="1" t="s">
        <v>14</v>
      </c>
      <c r="H31" s="2" t="s">
        <v>15</v>
      </c>
      <c r="I31" s="1" t="s">
        <v>16</v>
      </c>
      <c r="J31" s="12">
        <f>ROUND(+J30*H31/100, 2)</f>
        <v>1478.05</v>
      </c>
    </row>
    <row r="32" spans="1:10" ht="4.2" customHeight="1" x14ac:dyDescent="0.25"/>
    <row r="33" spans="2:10" x14ac:dyDescent="0.25">
      <c r="F33" s="3" t="s">
        <v>17</v>
      </c>
      <c r="J33" s="13">
        <f>SUM(J30:J31)</f>
        <v>28351.75</v>
      </c>
    </row>
    <row r="35" spans="2:10" x14ac:dyDescent="0.25">
      <c r="B35" s="1" t="s">
        <v>18</v>
      </c>
    </row>
    <row r="37" spans="2:10" x14ac:dyDescent="0.25">
      <c r="B37" s="1" t="s">
        <v>19</v>
      </c>
    </row>
    <row r="38" spans="2:10" x14ac:dyDescent="0.25">
      <c r="B38" s="1" t="s">
        <v>20</v>
      </c>
    </row>
    <row r="40" spans="2:10" x14ac:dyDescent="0.25">
      <c r="H40" s="3" t="s">
        <v>21</v>
      </c>
    </row>
    <row r="46" spans="2:10" x14ac:dyDescent="0.25">
      <c r="B46" s="1" t="s">
        <v>22</v>
      </c>
    </row>
    <row r="47" spans="2:10" x14ac:dyDescent="0.25">
      <c r="B47" s="1" t="s">
        <v>23</v>
      </c>
      <c r="J47" s="10">
        <f>+J33</f>
        <v>28351.75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5FC1E-6EFB-4A39-8CBD-38DEE2703F0C}">
  <dimension ref="A10:J47"/>
  <sheetViews>
    <sheetView workbookViewId="0"/>
  </sheetViews>
  <sheetFormatPr baseColWidth="10" defaultRowHeight="13.8" x14ac:dyDescent="0.25"/>
  <cols>
    <col min="1" max="1" width="11.77734375" style="1" customWidth="1"/>
    <col min="2" max="2" width="4.33203125" style="1" customWidth="1"/>
    <col min="3" max="3" width="6.6640625" style="1" customWidth="1"/>
    <col min="4" max="4" width="7.5546875" style="1" customWidth="1"/>
    <col min="5" max="5" width="11.88671875" style="1" customWidth="1"/>
    <col min="6" max="6" width="4.33203125" style="1" customWidth="1"/>
    <col min="7" max="7" width="3.109375" style="1" customWidth="1"/>
    <col min="8" max="8" width="13" style="1" customWidth="1"/>
    <col min="9" max="9" width="5.109375" style="1" customWidth="1"/>
    <col min="10" max="10" width="16" style="1" customWidth="1"/>
    <col min="11" max="16384" width="11.5546875" style="1"/>
  </cols>
  <sheetData>
    <row r="10" spans="6:6" x14ac:dyDescent="0.25">
      <c r="F10" s="1" t="s">
        <v>24</v>
      </c>
    </row>
    <row r="11" spans="6:6" x14ac:dyDescent="0.25">
      <c r="F11" s="1" t="s">
        <v>25</v>
      </c>
    </row>
    <row r="12" spans="6:6" x14ac:dyDescent="0.25">
      <c r="F12" s="1" t="s">
        <v>26</v>
      </c>
    </row>
    <row r="13" spans="6:6" x14ac:dyDescent="0.25">
      <c r="F13" s="1" t="s">
        <v>27</v>
      </c>
    </row>
    <row r="18" spans="1:10" x14ac:dyDescent="0.25">
      <c r="A18" s="1" t="s">
        <v>4</v>
      </c>
    </row>
    <row r="23" spans="1:10" x14ac:dyDescent="0.25">
      <c r="B23" s="1" t="s">
        <v>5</v>
      </c>
    </row>
    <row r="25" spans="1:10" x14ac:dyDescent="0.25">
      <c r="B25" s="1" t="s">
        <v>6</v>
      </c>
    </row>
    <row r="26" spans="1:10" x14ac:dyDescent="0.25">
      <c r="B26" s="1" t="s">
        <v>7</v>
      </c>
    </row>
    <row r="28" spans="1:10" x14ac:dyDescent="0.25">
      <c r="B28" s="2" t="s">
        <v>8</v>
      </c>
      <c r="C28" s="4">
        <v>400</v>
      </c>
      <c r="D28" s="1" t="s">
        <v>9</v>
      </c>
      <c r="E28" s="5">
        <v>14.763</v>
      </c>
      <c r="F28" s="6" t="s">
        <v>10</v>
      </c>
      <c r="G28" s="7" t="s">
        <v>11</v>
      </c>
      <c r="H28" s="8">
        <v>6700</v>
      </c>
      <c r="I28" s="9" t="s">
        <v>12</v>
      </c>
      <c r="J28" s="11">
        <f>ROUND(+E28*H28, 2)</f>
        <v>98912.1</v>
      </c>
    </row>
    <row r="29" spans="1:10" ht="4.2" customHeight="1" x14ac:dyDescent="0.25"/>
    <row r="30" spans="1:10" x14ac:dyDescent="0.25">
      <c r="F30" s="1" t="s">
        <v>13</v>
      </c>
      <c r="J30" s="8">
        <f>+J28</f>
        <v>98912.1</v>
      </c>
    </row>
    <row r="31" spans="1:10" x14ac:dyDescent="0.25">
      <c r="F31" s="1" t="s">
        <v>14</v>
      </c>
      <c r="H31" s="2" t="s">
        <v>15</v>
      </c>
      <c r="I31" s="1" t="s">
        <v>16</v>
      </c>
      <c r="J31" s="12">
        <f>ROUND(+J30*H31/100, 2)</f>
        <v>5440.17</v>
      </c>
    </row>
    <row r="32" spans="1:10" ht="4.2" customHeight="1" x14ac:dyDescent="0.25"/>
    <row r="33" spans="2:10" x14ac:dyDescent="0.25">
      <c r="F33" s="3" t="s">
        <v>17</v>
      </c>
      <c r="J33" s="13">
        <f>SUM(J30:J31)</f>
        <v>104352.27</v>
      </c>
    </row>
    <row r="35" spans="2:10" x14ac:dyDescent="0.25">
      <c r="B35" s="1" t="s">
        <v>18</v>
      </c>
    </row>
    <row r="37" spans="2:10" x14ac:dyDescent="0.25">
      <c r="B37" s="1" t="s">
        <v>19</v>
      </c>
    </row>
    <row r="38" spans="2:10" x14ac:dyDescent="0.25">
      <c r="B38" s="1" t="s">
        <v>20</v>
      </c>
    </row>
    <row r="40" spans="2:10" x14ac:dyDescent="0.25">
      <c r="H40" s="3" t="s">
        <v>21</v>
      </c>
    </row>
    <row r="46" spans="2:10" x14ac:dyDescent="0.25">
      <c r="B46" s="1" t="s">
        <v>28</v>
      </c>
    </row>
    <row r="47" spans="2:10" x14ac:dyDescent="0.25">
      <c r="B47" s="1" t="s">
        <v>29</v>
      </c>
      <c r="J47" s="10">
        <f>+J33</f>
        <v>104352.27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A08ED-99EB-492C-BB64-F27C1371C1C5}">
  <dimension ref="A10:J50"/>
  <sheetViews>
    <sheetView workbookViewId="0"/>
  </sheetViews>
  <sheetFormatPr baseColWidth="10" defaultRowHeight="13.8" x14ac:dyDescent="0.25"/>
  <cols>
    <col min="1" max="1" width="11.77734375" style="1" customWidth="1"/>
    <col min="2" max="2" width="4.33203125" style="1" customWidth="1"/>
    <col min="3" max="3" width="6.6640625" style="1" customWidth="1"/>
    <col min="4" max="4" width="7.5546875" style="1" customWidth="1"/>
    <col min="5" max="5" width="11.88671875" style="1" customWidth="1"/>
    <col min="6" max="6" width="4.33203125" style="1" customWidth="1"/>
    <col min="7" max="7" width="3.109375" style="1" customWidth="1"/>
    <col min="8" max="8" width="13" style="1" customWidth="1"/>
    <col min="9" max="9" width="5.109375" style="1" customWidth="1"/>
    <col min="10" max="10" width="16" style="1" customWidth="1"/>
    <col min="11" max="16384" width="11.5546875" style="1"/>
  </cols>
  <sheetData>
    <row r="10" spans="6:6" x14ac:dyDescent="0.25">
      <c r="F10" s="1" t="s">
        <v>30</v>
      </c>
    </row>
    <row r="11" spans="6:6" x14ac:dyDescent="0.25">
      <c r="F11" s="1" t="s">
        <v>31</v>
      </c>
    </row>
    <row r="12" spans="6:6" x14ac:dyDescent="0.25">
      <c r="F12" s="1" t="s">
        <v>32</v>
      </c>
    </row>
    <row r="13" spans="6:6" x14ac:dyDescent="0.25">
      <c r="F13" s="1" t="s">
        <v>33</v>
      </c>
    </row>
    <row r="18" spans="1:10" x14ac:dyDescent="0.25">
      <c r="A18" s="1" t="s">
        <v>4</v>
      </c>
    </row>
    <row r="23" spans="1:10" x14ac:dyDescent="0.25">
      <c r="B23" s="1" t="s">
        <v>5</v>
      </c>
    </row>
    <row r="25" spans="1:10" x14ac:dyDescent="0.25">
      <c r="B25" s="1" t="s">
        <v>6</v>
      </c>
    </row>
    <row r="26" spans="1:10" x14ac:dyDescent="0.25">
      <c r="B26" s="1" t="s">
        <v>7</v>
      </c>
    </row>
    <row r="28" spans="1:10" x14ac:dyDescent="0.25">
      <c r="B28" s="2" t="s">
        <v>8</v>
      </c>
      <c r="C28" s="4">
        <v>626</v>
      </c>
      <c r="D28" s="1" t="s">
        <v>9</v>
      </c>
      <c r="E28" s="5">
        <v>24.433</v>
      </c>
      <c r="F28" s="6" t="s">
        <v>10</v>
      </c>
      <c r="G28" s="7" t="s">
        <v>11</v>
      </c>
      <c r="H28" s="8">
        <v>6700</v>
      </c>
      <c r="I28" s="9" t="s">
        <v>12</v>
      </c>
      <c r="J28" s="11">
        <f>ROUND(+E28*H28, 2)</f>
        <v>163701.1</v>
      </c>
    </row>
    <row r="29" spans="1:10" ht="4.2" customHeight="1" x14ac:dyDescent="0.25"/>
    <row r="30" spans="1:10" x14ac:dyDescent="0.25">
      <c r="F30" s="1" t="s">
        <v>13</v>
      </c>
      <c r="J30" s="8">
        <f>+J28</f>
        <v>163701.1</v>
      </c>
    </row>
    <row r="31" spans="1:10" x14ac:dyDescent="0.25">
      <c r="F31" s="1" t="s">
        <v>14</v>
      </c>
      <c r="H31" s="2" t="s">
        <v>15</v>
      </c>
      <c r="I31" s="1" t="s">
        <v>16</v>
      </c>
      <c r="J31" s="12">
        <f>ROUND(+J30*H31/100, 2)</f>
        <v>9003.56</v>
      </c>
    </row>
    <row r="32" spans="1:10" ht="4.2" customHeight="1" x14ac:dyDescent="0.25"/>
    <row r="33" spans="2:10" x14ac:dyDescent="0.25">
      <c r="J33" s="10">
        <f>SUM(J30:J31)</f>
        <v>172704.66</v>
      </c>
    </row>
    <row r="34" spans="2:10" x14ac:dyDescent="0.25">
      <c r="B34" s="1" t="s">
        <v>34</v>
      </c>
      <c r="J34" s="10">
        <v>-2147.7800000000002</v>
      </c>
    </row>
    <row r="36" spans="2:10" x14ac:dyDescent="0.25">
      <c r="F36" s="3" t="s">
        <v>17</v>
      </c>
      <c r="J36" s="14">
        <f>SUM(J33:J35)</f>
        <v>170556.88</v>
      </c>
    </row>
    <row r="38" spans="2:10" x14ac:dyDescent="0.25">
      <c r="B38" s="1" t="s">
        <v>18</v>
      </c>
    </row>
    <row r="40" spans="2:10" x14ac:dyDescent="0.25">
      <c r="B40" s="1" t="s">
        <v>19</v>
      </c>
    </row>
    <row r="41" spans="2:10" x14ac:dyDescent="0.25">
      <c r="B41" s="1" t="s">
        <v>20</v>
      </c>
    </row>
    <row r="43" spans="2:10" x14ac:dyDescent="0.25">
      <c r="H43" s="3" t="s">
        <v>21</v>
      </c>
    </row>
    <row r="49" spans="2:10" x14ac:dyDescent="0.25">
      <c r="B49" s="1" t="s">
        <v>35</v>
      </c>
    </row>
    <row r="50" spans="2:10" x14ac:dyDescent="0.25">
      <c r="B50" s="1" t="s">
        <v>36</v>
      </c>
      <c r="J50" s="10">
        <f>+J36</f>
        <v>170556.88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11303-7F20-434E-823F-D611AD226138}">
  <dimension ref="A10:J47"/>
  <sheetViews>
    <sheetView workbookViewId="0"/>
  </sheetViews>
  <sheetFormatPr baseColWidth="10" defaultRowHeight="13.8" x14ac:dyDescent="0.25"/>
  <cols>
    <col min="1" max="1" width="11.77734375" style="1" customWidth="1"/>
    <col min="2" max="2" width="4.33203125" style="1" customWidth="1"/>
    <col min="3" max="3" width="6.6640625" style="1" customWidth="1"/>
    <col min="4" max="4" width="7.5546875" style="1" customWidth="1"/>
    <col min="5" max="5" width="11.88671875" style="1" customWidth="1"/>
    <col min="6" max="6" width="4.33203125" style="1" customWidth="1"/>
    <col min="7" max="7" width="3.109375" style="1" customWidth="1"/>
    <col min="8" max="8" width="13" style="1" customWidth="1"/>
    <col min="9" max="9" width="5.109375" style="1" customWidth="1"/>
    <col min="10" max="10" width="16" style="1" customWidth="1"/>
    <col min="11" max="16384" width="11.5546875" style="1"/>
  </cols>
  <sheetData>
    <row r="10" spans="6:6" x14ac:dyDescent="0.25">
      <c r="F10" s="1" t="s">
        <v>37</v>
      </c>
    </row>
    <row r="11" spans="6:6" x14ac:dyDescent="0.25">
      <c r="F11" s="1" t="s">
        <v>38</v>
      </c>
    </row>
    <row r="12" spans="6:6" x14ac:dyDescent="0.25">
      <c r="F12" s="1" t="s">
        <v>39</v>
      </c>
    </row>
    <row r="13" spans="6:6" x14ac:dyDescent="0.25">
      <c r="F13" s="1" t="s">
        <v>40</v>
      </c>
    </row>
    <row r="18" spans="1:10" x14ac:dyDescent="0.25">
      <c r="A18" s="1" t="s">
        <v>4</v>
      </c>
    </row>
    <row r="23" spans="1:10" x14ac:dyDescent="0.25">
      <c r="B23" s="1" t="s">
        <v>5</v>
      </c>
    </row>
    <row r="25" spans="1:10" x14ac:dyDescent="0.25">
      <c r="B25" s="1" t="s">
        <v>6</v>
      </c>
    </row>
    <row r="26" spans="1:10" x14ac:dyDescent="0.25">
      <c r="B26" s="1" t="s">
        <v>7</v>
      </c>
    </row>
    <row r="28" spans="1:10" x14ac:dyDescent="0.25">
      <c r="B28" s="2" t="s">
        <v>8</v>
      </c>
      <c r="C28" s="4">
        <v>455</v>
      </c>
      <c r="D28" s="1" t="s">
        <v>9</v>
      </c>
      <c r="E28" s="5">
        <v>17.599</v>
      </c>
      <c r="F28" s="6" t="s">
        <v>10</v>
      </c>
      <c r="G28" s="7" t="s">
        <v>11</v>
      </c>
      <c r="H28" s="8">
        <v>6700</v>
      </c>
      <c r="I28" s="9" t="s">
        <v>12</v>
      </c>
      <c r="J28" s="11">
        <f>ROUND(+E28*H28, 2)</f>
        <v>117913.3</v>
      </c>
    </row>
    <row r="29" spans="1:10" ht="4.2" customHeight="1" x14ac:dyDescent="0.25"/>
    <row r="30" spans="1:10" x14ac:dyDescent="0.25">
      <c r="F30" s="1" t="s">
        <v>13</v>
      </c>
      <c r="J30" s="8">
        <f>+J28</f>
        <v>117913.3</v>
      </c>
    </row>
    <row r="31" spans="1:10" x14ac:dyDescent="0.25">
      <c r="F31" s="1" t="s">
        <v>14</v>
      </c>
      <c r="H31" s="2" t="s">
        <v>15</v>
      </c>
      <c r="I31" s="1" t="s">
        <v>16</v>
      </c>
      <c r="J31" s="12">
        <f>ROUND(+J30*H31/100, 2)</f>
        <v>6485.23</v>
      </c>
    </row>
    <row r="32" spans="1:10" ht="4.2" customHeight="1" x14ac:dyDescent="0.25"/>
    <row r="33" spans="2:10" x14ac:dyDescent="0.25">
      <c r="F33" s="3" t="s">
        <v>17</v>
      </c>
      <c r="J33" s="13">
        <f>SUM(J30:J31)</f>
        <v>124398.53</v>
      </c>
    </row>
    <row r="35" spans="2:10" x14ac:dyDescent="0.25">
      <c r="B35" s="1" t="s">
        <v>18</v>
      </c>
    </row>
    <row r="37" spans="2:10" x14ac:dyDescent="0.25">
      <c r="B37" s="1" t="s">
        <v>19</v>
      </c>
    </row>
    <row r="38" spans="2:10" x14ac:dyDescent="0.25">
      <c r="B38" s="1" t="s">
        <v>20</v>
      </c>
    </row>
    <row r="40" spans="2:10" x14ac:dyDescent="0.25">
      <c r="H40" s="3" t="s">
        <v>21</v>
      </c>
    </row>
    <row r="46" spans="2:10" x14ac:dyDescent="0.25">
      <c r="B46" s="1" t="s">
        <v>41</v>
      </c>
    </row>
    <row r="47" spans="2:10" x14ac:dyDescent="0.25">
      <c r="B47" s="1" t="s">
        <v>42</v>
      </c>
      <c r="J47" s="10">
        <f>+J33</f>
        <v>124398.53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05DEB-607A-4C82-B6C9-614BE19399FB}">
  <dimension ref="A10:J47"/>
  <sheetViews>
    <sheetView tabSelected="1" workbookViewId="0"/>
  </sheetViews>
  <sheetFormatPr baseColWidth="10" defaultRowHeight="13.8" x14ac:dyDescent="0.25"/>
  <cols>
    <col min="1" max="1" width="11.77734375" style="1" customWidth="1"/>
    <col min="2" max="2" width="4.33203125" style="1" customWidth="1"/>
    <col min="3" max="3" width="6.6640625" style="1" customWidth="1"/>
    <col min="4" max="4" width="7.5546875" style="1" customWidth="1"/>
    <col min="5" max="5" width="11.88671875" style="1" customWidth="1"/>
    <col min="6" max="6" width="4.33203125" style="1" customWidth="1"/>
    <col min="7" max="7" width="3.109375" style="1" customWidth="1"/>
    <col min="8" max="8" width="13" style="1" customWidth="1"/>
    <col min="9" max="9" width="5.109375" style="1" customWidth="1"/>
    <col min="10" max="10" width="16" style="1" customWidth="1"/>
    <col min="11" max="16384" width="11.5546875" style="1"/>
  </cols>
  <sheetData>
    <row r="10" spans="6:6" x14ac:dyDescent="0.25">
      <c r="F10" s="1" t="s">
        <v>43</v>
      </c>
    </row>
    <row r="11" spans="6:6" x14ac:dyDescent="0.25">
      <c r="F11" s="1" t="s">
        <v>44</v>
      </c>
    </row>
    <row r="12" spans="6:6" x14ac:dyDescent="0.25">
      <c r="F12" s="1" t="s">
        <v>45</v>
      </c>
    </row>
    <row r="13" spans="6:6" x14ac:dyDescent="0.25">
      <c r="F13" s="1" t="s">
        <v>46</v>
      </c>
    </row>
    <row r="18" spans="1:10" x14ac:dyDescent="0.25">
      <c r="A18" s="1" t="s">
        <v>4</v>
      </c>
    </row>
    <row r="23" spans="1:10" x14ac:dyDescent="0.25">
      <c r="B23" s="1" t="s">
        <v>5</v>
      </c>
    </row>
    <row r="25" spans="1:10" x14ac:dyDescent="0.25">
      <c r="B25" s="1" t="s">
        <v>6</v>
      </c>
    </row>
    <row r="26" spans="1:10" x14ac:dyDescent="0.25">
      <c r="B26" s="1" t="s">
        <v>7</v>
      </c>
    </row>
    <row r="28" spans="1:10" x14ac:dyDescent="0.25">
      <c r="B28" s="2" t="s">
        <v>8</v>
      </c>
      <c r="C28" s="4">
        <v>516</v>
      </c>
      <c r="D28" s="1" t="s">
        <v>9</v>
      </c>
      <c r="E28" s="5">
        <v>20.658000000000001</v>
      </c>
      <c r="F28" s="6" t="s">
        <v>10</v>
      </c>
      <c r="G28" s="7" t="s">
        <v>11</v>
      </c>
      <c r="H28" s="8">
        <v>6700</v>
      </c>
      <c r="I28" s="9" t="s">
        <v>12</v>
      </c>
      <c r="J28" s="11">
        <f>ROUND(+E28*H28, 2)</f>
        <v>138408.6</v>
      </c>
    </row>
    <row r="29" spans="1:10" ht="4.2" customHeight="1" x14ac:dyDescent="0.25"/>
    <row r="30" spans="1:10" x14ac:dyDescent="0.25">
      <c r="F30" s="1" t="s">
        <v>13</v>
      </c>
      <c r="J30" s="8">
        <f>+J28</f>
        <v>138408.6</v>
      </c>
    </row>
    <row r="31" spans="1:10" x14ac:dyDescent="0.25">
      <c r="F31" s="1" t="s">
        <v>14</v>
      </c>
      <c r="H31" s="2" t="s">
        <v>15</v>
      </c>
      <c r="I31" s="1" t="s">
        <v>16</v>
      </c>
      <c r="J31" s="12">
        <f>ROUND(+J30*H31/100, 2)</f>
        <v>7612.47</v>
      </c>
    </row>
    <row r="32" spans="1:10" ht="4.2" customHeight="1" x14ac:dyDescent="0.25"/>
    <row r="33" spans="2:10" x14ac:dyDescent="0.25">
      <c r="F33" s="3" t="s">
        <v>17</v>
      </c>
      <c r="J33" s="13">
        <f>SUM(J30:J31)</f>
        <v>146021.07</v>
      </c>
    </row>
    <row r="35" spans="2:10" x14ac:dyDescent="0.25">
      <c r="B35" s="1" t="s">
        <v>18</v>
      </c>
    </row>
    <row r="37" spans="2:10" x14ac:dyDescent="0.25">
      <c r="B37" s="1" t="s">
        <v>19</v>
      </c>
    </row>
    <row r="38" spans="2:10" x14ac:dyDescent="0.25">
      <c r="B38" s="1" t="s">
        <v>20</v>
      </c>
    </row>
    <row r="40" spans="2:10" x14ac:dyDescent="0.25">
      <c r="H40" s="3" t="s">
        <v>21</v>
      </c>
    </row>
    <row r="46" spans="2:10" x14ac:dyDescent="0.25">
      <c r="B46" s="1" t="s">
        <v>47</v>
      </c>
    </row>
    <row r="47" spans="2:10" x14ac:dyDescent="0.25">
      <c r="B47" s="1" t="s">
        <v>48</v>
      </c>
      <c r="J47" s="10">
        <f>+J33</f>
        <v>146021.07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Feuil1</vt:lpstr>
      <vt:lpstr>SCAF GRANGE DE VAIVRE    </vt:lpstr>
      <vt:lpstr>SCAF BRESSE JURASSIENNE  </vt:lpstr>
      <vt:lpstr>SCAF LONGEVELLE-RUSSEY   </vt:lpstr>
      <vt:lpstr>GD COMBE CHATELEU        </vt:lpstr>
      <vt:lpstr>SCAF LAVANS VUILLAFANS  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steeve guillot</dc:creator>
  <cp:lastModifiedBy>steeve guillot</cp:lastModifiedBy>
  <dcterms:created xsi:type="dcterms:W3CDTF">2024-07-30T08:00:30Z</dcterms:created>
  <dcterms:modified xsi:type="dcterms:W3CDTF">2024-07-30T08:00:38Z</dcterms:modified>
</cp:coreProperties>
</file>