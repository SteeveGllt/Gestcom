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Acomptes\"/>
    </mc:Choice>
  </mc:AlternateContent>
  <xr:revisionPtr revIDLastSave="0" documentId="8_{142A6E75-C208-4D68-A77C-CBD18A069C40}" xr6:coauthVersionLast="47" xr6:coauthVersionMax="47" xr10:uidLastSave="{00000000-0000-0000-0000-000000000000}"/>
  <bookViews>
    <workbookView xWindow="3765" yWindow="2370" windowWidth="21600" windowHeight="11295" firstSheet="4" activeTab="6" xr2:uid="{2EA45457-51CA-4055-93DE-DC82EBFFE905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7" l="1"/>
  <c r="J33" i="7"/>
  <c r="J31" i="7"/>
  <c r="J30" i="7"/>
  <c r="J28" i="7"/>
  <c r="J47" i="6"/>
  <c r="J33" i="6"/>
  <c r="J31" i="6"/>
  <c r="J30" i="6"/>
  <c r="J28" i="6"/>
  <c r="J47" i="5"/>
  <c r="J33" i="5"/>
  <c r="J31" i="5"/>
  <c r="J30" i="5"/>
  <c r="J28" i="5"/>
  <c r="J47" i="4"/>
  <c r="J33" i="4"/>
  <c r="J31" i="4"/>
  <c r="J30" i="4"/>
  <c r="J28" i="4"/>
  <c r="J47" i="3"/>
  <c r="J33" i="3"/>
  <c r="J31" i="3"/>
  <c r="J30" i="3"/>
  <c r="J28" i="3"/>
  <c r="J47" i="2"/>
  <c r="J33" i="2"/>
  <c r="J31" i="2"/>
  <c r="J30" i="2"/>
  <c r="J28" i="2"/>
</calcChain>
</file>

<file path=xl/sharedStrings.xml><?xml version="1.0" encoding="utf-8"?>
<sst xmlns="http://schemas.openxmlformats.org/spreadsheetml/2006/main" count="150" uniqueCount="52">
  <si>
    <t>SCAF DE LA FRUITIERE DU VAL DE LOUE</t>
  </si>
  <si>
    <t>Mr Frédéric PONCET</t>
  </si>
  <si>
    <t xml:space="preserve">                         </t>
  </si>
  <si>
    <t xml:space="preserve">39600 GRANGE DE VAIVRE         </t>
  </si>
  <si>
    <t>Le 20 Juillet 2024</t>
  </si>
  <si>
    <t xml:space="preserve">      TB/PB</t>
  </si>
  <si>
    <t>Monsieur le Président</t>
  </si>
  <si>
    <t xml:space="preserve">          Nous vous prions de bien vouloir trouver ci-dessous, le détail</t>
  </si>
  <si>
    <r>
      <t xml:space="preserve">du premier acompte sur votre lot de fabrication </t>
    </r>
    <r>
      <rPr>
        <b/>
        <sz val="11"/>
        <color theme="1"/>
        <rFont val="Arial"/>
        <family val="2"/>
      </rPr>
      <t>MAI 2024</t>
    </r>
  </si>
  <si>
    <t>-</t>
  </si>
  <si>
    <t>pains</t>
  </si>
  <si>
    <t>T</t>
  </si>
  <si>
    <t>x</t>
  </si>
  <si>
    <t xml:space="preserve"> =</t>
  </si>
  <si>
    <t>Total HT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</si>
  <si>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</si>
  <si>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</si>
  <si>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</si>
  <si>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</si>
  <si>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</si>
  <si>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</si>
  <si>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</si>
  <si>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</si>
  <si>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</si>
  <si>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</si>
  <si>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</si>
  <si>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</si>
  <si>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</si>
  <si>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</si>
  <si>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</si>
  <si>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</si>
  <si>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</si>
  <si>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</si>
  <si>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</si>
  <si>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</si>
  <si>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</si>
  <si>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</si>
  <si>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</si>
  <si>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</si>
  <si>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</si>
  <si>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</si>
  <si>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Le 08 Juillet 2024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</si>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</sst>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.000"/>
    <numFmt numFmtId="165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FA37-00FD-4D22-92F9-14154F10557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47AB-5455-4131-BC9E-516FDF610B8B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0</v>
      </c>
    </row>
    <row r="11" spans="6:6" x14ac:dyDescent="0.2">
      <c r="F11" s="1" t="s">
        <v>1</v>
      </c>
    </row>
    <row r="12" spans="6:6" x14ac:dyDescent="0.2">
      <c r="F12" s="1" t="s">
        <v>2</v>
      </c>
    </row>
    <row r="13" spans="6:6" x14ac:dyDescent="0.2">
      <c r="F13" s="1" t="s">
        <v>3</v>
      </c>
    </row>
    <row r="18" spans="1:10" x14ac:dyDescent="0.2">
      <c r="A18" s="1" t="s">
        <v>5</v>
      </c>
      <c r="G18" s="1" t="s">
        <v>4</v>
      </c>
    </row>
    <row r="23" spans="1:10" x14ac:dyDescent="0.2">
      <c r="B23" s="1" t="s">
        <v>6</v>
      </c>
    </row>
    <row r="25" spans="1:10" x14ac:dyDescent="0.2">
      <c r="B25" s="1" t="s">
        <v>7</v>
      </c>
    </row>
    <row r="26" spans="1:10" ht="15" x14ac:dyDescent="0.25">
      <c r="B26" s="1" t="s">
        <v>8</v>
      </c>
    </row>
    <row r="28" spans="1:10" ht="15" x14ac:dyDescent="0.25">
      <c r="B28" s="2" t="s">
        <v>9</v>
      </c>
      <c r="C28" s="4">
        <v>104</v>
      </c>
      <c r="D28" s="1" t="s">
        <v>10</v>
      </c>
      <c r="E28" s="5">
        <v>3.6669999999999998</v>
      </c>
      <c r="F28" s="6" t="s">
        <v>11</v>
      </c>
      <c r="G28" s="7" t="s">
        <v>12</v>
      </c>
      <c r="H28" s="8">
        <v>6750</v>
      </c>
      <c r="I28" s="9" t="s">
        <v>13</v>
      </c>
      <c r="J28" s="11">
        <f>ROUND(+E28*H28, 2)</f>
        <v>24752.25</v>
      </c>
    </row>
    <row r="29" spans="1:10" ht="4.1500000000000004" customHeight="1" x14ac:dyDescent="0.2"/>
    <row r="30" spans="1:10" x14ac:dyDescent="0.2">
      <c r="F30" s="1" t="s">
        <v>14</v>
      </c>
      <c r="J30" s="8">
        <f>+J28</f>
        <v>24752.25</v>
      </c>
    </row>
    <row r="31" spans="1:10" x14ac:dyDescent="0.2">
      <c r="F31" s="1" t="s">
        <v>15</v>
      </c>
      <c r="H31" s="2" t="s">
        <v>16</v>
      </c>
      <c r="I31" s="1" t="s">
        <v>17</v>
      </c>
      <c r="J31" s="12">
        <f>ROUND(+J30*H31/100, 2)</f>
        <v>1361.37</v>
      </c>
    </row>
    <row r="32" spans="1:10" ht="4.1500000000000004" customHeight="1" x14ac:dyDescent="0.2"/>
    <row r="33" spans="2:10" ht="15" x14ac:dyDescent="0.25">
      <c r="F33" s="3" t="s">
        <v>18</v>
      </c>
      <c r="J33" s="13">
        <f>SUM(J30:J31)</f>
        <v>26113.62</v>
      </c>
    </row>
    <row r="35" spans="2:10" x14ac:dyDescent="0.2">
      <c r="B35" s="1" t="s">
        <v>19</v>
      </c>
    </row>
    <row r="37" spans="2:10" x14ac:dyDescent="0.2">
      <c r="B37" s="1" t="s">
        <v>20</v>
      </c>
    </row>
    <row r="38" spans="2:10" x14ac:dyDescent="0.2">
      <c r="B38" s="1" t="s">
        <v>21</v>
      </c>
    </row>
    <row r="40" spans="2:10" ht="15" x14ac:dyDescent="0.25">
      <c r="H40" s="3" t="s">
        <v>22</v>
      </c>
    </row>
    <row r="46" spans="2:10" x14ac:dyDescent="0.2">
      <c r="B46" s="1" t="s">
        <v>23</v>
      </c>
    </row>
    <row r="47" spans="2:10" x14ac:dyDescent="0.2">
      <c r="B47" s="1" t="s">
        <v>24</v>
      </c>
      <c r="J47" s="10">
        <f>+J33</f>
        <v>26113.62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CB143-91C9-4C64-AE40-EF2915EB374C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25</v>
      </c>
    </row>
    <row r="11" spans="6:6" x14ac:dyDescent="0.2">
      <c r="F11" s="1" t="s">
        <v>26</v>
      </c>
    </row>
    <row r="12" spans="6:6" x14ac:dyDescent="0.2">
      <c r="F12" s="1" t="s">
        <v>27</v>
      </c>
    </row>
    <row r="13" spans="6:6" x14ac:dyDescent="0.2">
      <c r="F13" s="1" t="s">
        <v>28</v>
      </c>
    </row>
    <row r="18" spans="1:10" x14ac:dyDescent="0.2">
      <c r="A18" s="1" t="s">
        <v>5</v>
      </c>
      <c r="G18" s="1" t="s">
        <v>4</v>
      </c>
    </row>
    <row r="23" spans="1:10" x14ac:dyDescent="0.2">
      <c r="B23" s="1" t="s">
        <v>6</v>
      </c>
    </row>
    <row r="25" spans="1:10" x14ac:dyDescent="0.2">
      <c r="B25" s="1" t="s">
        <v>7</v>
      </c>
    </row>
    <row r="26" spans="1:10" ht="15" x14ac:dyDescent="0.25">
      <c r="B26" s="1" t="s">
        <v>8</v>
      </c>
    </row>
    <row r="28" spans="1:10" ht="15" x14ac:dyDescent="0.25">
      <c r="B28" s="2" t="s">
        <v>9</v>
      </c>
      <c r="C28" s="4">
        <v>392</v>
      </c>
      <c r="D28" s="1" t="s">
        <v>10</v>
      </c>
      <c r="E28" s="5">
        <v>14.491</v>
      </c>
      <c r="F28" s="6" t="s">
        <v>11</v>
      </c>
      <c r="G28" s="7" t="s">
        <v>12</v>
      </c>
      <c r="H28" s="8">
        <v>6750</v>
      </c>
      <c r="I28" s="9" t="s">
        <v>13</v>
      </c>
      <c r="J28" s="11">
        <f>ROUND(+E28*H28, 2)</f>
        <v>97814.25</v>
      </c>
    </row>
    <row r="29" spans="1:10" ht="4.1500000000000004" customHeight="1" x14ac:dyDescent="0.2"/>
    <row r="30" spans="1:10" x14ac:dyDescent="0.2">
      <c r="F30" s="1" t="s">
        <v>14</v>
      </c>
      <c r="J30" s="8">
        <f>+J28</f>
        <v>97814.25</v>
      </c>
    </row>
    <row r="31" spans="1:10" x14ac:dyDescent="0.2">
      <c r="F31" s="1" t="s">
        <v>15</v>
      </c>
      <c r="H31" s="2" t="s">
        <v>16</v>
      </c>
      <c r="I31" s="1" t="s">
        <v>17</v>
      </c>
      <c r="J31" s="12">
        <f>ROUND(+J30*H31/100, 2)</f>
        <v>5379.78</v>
      </c>
    </row>
    <row r="32" spans="1:10" ht="4.1500000000000004" customHeight="1" x14ac:dyDescent="0.2"/>
    <row r="33" spans="2:10" ht="15" x14ac:dyDescent="0.25">
      <c r="F33" s="3" t="s">
        <v>18</v>
      </c>
      <c r="J33" s="13">
        <f>SUM(J30:J31)</f>
        <v>103194.03</v>
      </c>
    </row>
    <row r="35" spans="2:10" x14ac:dyDescent="0.2">
      <c r="B35" s="1" t="s">
        <v>19</v>
      </c>
    </row>
    <row r="37" spans="2:10" x14ac:dyDescent="0.2">
      <c r="B37" s="1" t="s">
        <v>20</v>
      </c>
    </row>
    <row r="38" spans="2:10" x14ac:dyDescent="0.2">
      <c r="B38" s="1" t="s">
        <v>21</v>
      </c>
    </row>
    <row r="40" spans="2:10" ht="15" x14ac:dyDescent="0.25">
      <c r="H40" s="3" t="s">
        <v>22</v>
      </c>
    </row>
    <row r="46" spans="2:10" x14ac:dyDescent="0.2">
      <c r="B46" s="1" t="s">
        <v>29</v>
      </c>
    </row>
    <row r="47" spans="2:10" x14ac:dyDescent="0.2">
      <c r="B47" s="1" t="s">
        <v>30</v>
      </c>
      <c r="J47" s="10">
        <f>+J33</f>
        <v>103194.03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3867-811F-46CD-8F99-6FA335FC8726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31</v>
      </c>
    </row>
    <row r="11" spans="6:6" x14ac:dyDescent="0.2">
      <c r="F11" s="1" t="s">
        <v>32</v>
      </c>
    </row>
    <row r="12" spans="6:6" x14ac:dyDescent="0.2">
      <c r="F12" s="1" t="s">
        <v>33</v>
      </c>
    </row>
    <row r="13" spans="6:6" x14ac:dyDescent="0.2">
      <c r="F13" s="1" t="s">
        <v>34</v>
      </c>
    </row>
    <row r="18" spans="1:10" x14ac:dyDescent="0.2">
      <c r="A18" s="1" t="s">
        <v>5</v>
      </c>
      <c r="G18" s="1" t="s">
        <v>4</v>
      </c>
    </row>
    <row r="23" spans="1:10" x14ac:dyDescent="0.2">
      <c r="B23" s="1" t="s">
        <v>6</v>
      </c>
    </row>
    <row r="25" spans="1:10" x14ac:dyDescent="0.2">
      <c r="B25" s="1" t="s">
        <v>7</v>
      </c>
    </row>
    <row r="26" spans="1:10" ht="15" x14ac:dyDescent="0.25">
      <c r="B26" s="1" t="s">
        <v>8</v>
      </c>
    </row>
    <row r="28" spans="1:10" ht="15" x14ac:dyDescent="0.25">
      <c r="B28" s="2" t="s">
        <v>9</v>
      </c>
      <c r="C28" s="4">
        <v>288</v>
      </c>
      <c r="D28" s="1" t="s">
        <v>10</v>
      </c>
      <c r="E28" s="5">
        <v>11.634</v>
      </c>
      <c r="F28" s="6" t="s">
        <v>11</v>
      </c>
      <c r="G28" s="7" t="s">
        <v>12</v>
      </c>
      <c r="H28" s="8">
        <v>6750</v>
      </c>
      <c r="I28" s="9" t="s">
        <v>13</v>
      </c>
      <c r="J28" s="11">
        <f>ROUND(+E28*H28, 2)</f>
        <v>78529.5</v>
      </c>
    </row>
    <row r="29" spans="1:10" ht="4.1500000000000004" customHeight="1" x14ac:dyDescent="0.2"/>
    <row r="30" spans="1:10" x14ac:dyDescent="0.2">
      <c r="F30" s="1" t="s">
        <v>14</v>
      </c>
      <c r="J30" s="8">
        <f>+J28</f>
        <v>78529.5</v>
      </c>
    </row>
    <row r="31" spans="1:10" x14ac:dyDescent="0.2">
      <c r="F31" s="1" t="s">
        <v>15</v>
      </c>
      <c r="H31" s="2" t="s">
        <v>16</v>
      </c>
      <c r="I31" s="1" t="s">
        <v>17</v>
      </c>
      <c r="J31" s="12">
        <f>ROUND(+J30*H31/100, 2)</f>
        <v>4319.12</v>
      </c>
    </row>
    <row r="32" spans="1:10" ht="4.1500000000000004" customHeight="1" x14ac:dyDescent="0.2"/>
    <row r="33" spans="2:10" ht="15" x14ac:dyDescent="0.25">
      <c r="F33" s="3" t="s">
        <v>18</v>
      </c>
      <c r="J33" s="13">
        <f>SUM(J30:J31)</f>
        <v>82848.62</v>
      </c>
    </row>
    <row r="35" spans="2:10" x14ac:dyDescent="0.2">
      <c r="B35" s="1" t="s">
        <v>19</v>
      </c>
    </row>
    <row r="37" spans="2:10" x14ac:dyDescent="0.2">
      <c r="B37" s="1" t="s">
        <v>20</v>
      </c>
    </row>
    <row r="38" spans="2:10" x14ac:dyDescent="0.2">
      <c r="B38" s="1" t="s">
        <v>21</v>
      </c>
    </row>
    <row r="40" spans="2:10" ht="15" x14ac:dyDescent="0.25">
      <c r="H40" s="3" t="s">
        <v>22</v>
      </c>
    </row>
    <row r="46" spans="2:10" x14ac:dyDescent="0.2">
      <c r="B46" s="1" t="s">
        <v>35</v>
      </c>
    </row>
    <row r="47" spans="2:10" x14ac:dyDescent="0.2">
      <c r="B47" s="1" t="s">
        <v>36</v>
      </c>
      <c r="J47" s="10">
        <f>+J33</f>
        <v>82848.62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0093-5463-4972-B749-8A8AADF34B62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37</v>
      </c>
    </row>
    <row r="11" spans="6:6" x14ac:dyDescent="0.2">
      <c r="F11" s="1" t="s">
        <v>38</v>
      </c>
    </row>
    <row r="12" spans="6:6" x14ac:dyDescent="0.2">
      <c r="F12" s="1" t="s">
        <v>39</v>
      </c>
    </row>
    <row r="13" spans="6:6" x14ac:dyDescent="0.2">
      <c r="F13" s="1" t="s">
        <v>40</v>
      </c>
    </row>
    <row r="18" spans="1:10" x14ac:dyDescent="0.2">
      <c r="A18" s="1" t="s">
        <v>5</v>
      </c>
      <c r="G18" s="1" t="s">
        <v>41</v>
      </c>
    </row>
    <row r="23" spans="1:10" x14ac:dyDescent="0.2">
      <c r="B23" s="1" t="s">
        <v>6</v>
      </c>
    </row>
    <row r="25" spans="1:10" x14ac:dyDescent="0.2">
      <c r="B25" s="1" t="s">
        <v>7</v>
      </c>
    </row>
    <row r="26" spans="1:10" ht="15" x14ac:dyDescent="0.25">
      <c r="B26" s="1" t="s">
        <v>8</v>
      </c>
    </row>
    <row r="28" spans="1:10" ht="15" x14ac:dyDescent="0.25">
      <c r="B28" s="2" t="s">
        <v>9</v>
      </c>
      <c r="C28" s="4">
        <v>672</v>
      </c>
      <c r="D28" s="1" t="s">
        <v>10</v>
      </c>
      <c r="E28" s="5">
        <v>25.975999999999999</v>
      </c>
      <c r="F28" s="6" t="s">
        <v>11</v>
      </c>
      <c r="G28" s="7" t="s">
        <v>12</v>
      </c>
      <c r="H28" s="8">
        <v>6750</v>
      </c>
      <c r="I28" s="9" t="s">
        <v>13</v>
      </c>
      <c r="J28" s="11">
        <f>ROUND(+E28*H28, 2)</f>
        <v>175338</v>
      </c>
    </row>
    <row r="29" spans="1:10" ht="4.1500000000000004" customHeight="1" x14ac:dyDescent="0.2"/>
    <row r="30" spans="1:10" x14ac:dyDescent="0.2">
      <c r="F30" s="1" t="s">
        <v>14</v>
      </c>
      <c r="J30" s="8">
        <f>+J28</f>
        <v>175338</v>
      </c>
    </row>
    <row r="31" spans="1:10" x14ac:dyDescent="0.2">
      <c r="F31" s="1" t="s">
        <v>15</v>
      </c>
      <c r="H31" s="2" t="s">
        <v>16</v>
      </c>
      <c r="I31" s="1" t="s">
        <v>17</v>
      </c>
      <c r="J31" s="12">
        <f>ROUND(+J30*H31/100, 2)</f>
        <v>9643.59</v>
      </c>
    </row>
    <row r="32" spans="1:10" ht="4.1500000000000004" customHeight="1" x14ac:dyDescent="0.2"/>
    <row r="33" spans="2:10" ht="15" x14ac:dyDescent="0.25">
      <c r="F33" s="3" t="s">
        <v>18</v>
      </c>
      <c r="J33" s="13">
        <f>SUM(J30:J31)</f>
        <v>184981.59</v>
      </c>
    </row>
    <row r="35" spans="2:10" x14ac:dyDescent="0.2">
      <c r="B35" s="1" t="s">
        <v>19</v>
      </c>
    </row>
    <row r="37" spans="2:10" x14ac:dyDescent="0.2">
      <c r="B37" s="1" t="s">
        <v>20</v>
      </c>
    </row>
    <row r="38" spans="2:10" x14ac:dyDescent="0.2">
      <c r="B38" s="1" t="s">
        <v>21</v>
      </c>
    </row>
    <row r="40" spans="2:10" ht="15" x14ac:dyDescent="0.25">
      <c r="H40" s="3" t="s">
        <v>22</v>
      </c>
    </row>
    <row r="46" spans="2:10" x14ac:dyDescent="0.2">
      <c r="B46" s="1" t="s">
        <v>42</v>
      </c>
    </row>
    <row r="47" spans="2:10" x14ac:dyDescent="0.2">
      <c r="B47" s="1" t="s">
        <v>43</v>
      </c>
      <c r="J47" s="10">
        <f>+J33</f>
        <v>184981.59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BCF03-1304-4A98-A0FA-F74A28D1040E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31</v>
      </c>
    </row>
    <row r="11" spans="6:6" x14ac:dyDescent="0.2">
      <c r="F11" s="1" t="s">
        <v>44</v>
      </c>
    </row>
    <row r="12" spans="6:6" x14ac:dyDescent="0.2">
      <c r="F12" s="1" t="s">
        <v>33</v>
      </c>
    </row>
    <row r="13" spans="6:6" x14ac:dyDescent="0.2">
      <c r="F13" s="1" t="s">
        <v>45</v>
      </c>
    </row>
    <row r="18" spans="1:10" x14ac:dyDescent="0.2">
      <c r="A18" s="1" t="s">
        <v>5</v>
      </c>
      <c r="G18" s="1" t="s">
        <v>4</v>
      </c>
    </row>
    <row r="23" spans="1:10" x14ac:dyDescent="0.2">
      <c r="B23" s="1" t="s">
        <v>6</v>
      </c>
    </row>
    <row r="25" spans="1:10" x14ac:dyDescent="0.2">
      <c r="B25" s="1" t="s">
        <v>7</v>
      </c>
    </row>
    <row r="26" spans="1:10" ht="15" x14ac:dyDescent="0.25">
      <c r="B26" s="1" t="s">
        <v>8</v>
      </c>
    </row>
    <row r="28" spans="1:10" ht="15" x14ac:dyDescent="0.25">
      <c r="B28" s="2" t="s">
        <v>9</v>
      </c>
      <c r="C28" s="4">
        <v>312</v>
      </c>
      <c r="D28" s="1" t="s">
        <v>10</v>
      </c>
      <c r="E28" s="5">
        <v>12.250999999999999</v>
      </c>
      <c r="F28" s="6" t="s">
        <v>11</v>
      </c>
      <c r="G28" s="7" t="s">
        <v>12</v>
      </c>
      <c r="H28" s="8">
        <v>6750</v>
      </c>
      <c r="I28" s="9" t="s">
        <v>13</v>
      </c>
      <c r="J28" s="11">
        <f>ROUND(+E28*H28, 2)</f>
        <v>82694.25</v>
      </c>
    </row>
    <row r="29" spans="1:10" ht="4.1500000000000004" customHeight="1" x14ac:dyDescent="0.2"/>
    <row r="30" spans="1:10" x14ac:dyDescent="0.2">
      <c r="F30" s="1" t="s">
        <v>14</v>
      </c>
      <c r="J30" s="8">
        <f>+J28</f>
        <v>82694.25</v>
      </c>
    </row>
    <row r="31" spans="1:10" x14ac:dyDescent="0.2">
      <c r="F31" s="1" t="s">
        <v>15</v>
      </c>
      <c r="H31" s="2" t="s">
        <v>16</v>
      </c>
      <c r="I31" s="1" t="s">
        <v>17</v>
      </c>
      <c r="J31" s="12">
        <f>ROUND(+J30*H31/100, 2)</f>
        <v>4548.18</v>
      </c>
    </row>
    <row r="32" spans="1:10" ht="4.1500000000000004" customHeight="1" x14ac:dyDescent="0.2"/>
    <row r="33" spans="2:10" ht="15" x14ac:dyDescent="0.25">
      <c r="F33" s="3" t="s">
        <v>18</v>
      </c>
      <c r="J33" s="13">
        <f>SUM(J30:J31)</f>
        <v>87242.43</v>
      </c>
    </row>
    <row r="35" spans="2:10" x14ac:dyDescent="0.2">
      <c r="B35" s="1" t="s">
        <v>19</v>
      </c>
    </row>
    <row r="37" spans="2:10" x14ac:dyDescent="0.2">
      <c r="B37" s="1" t="s">
        <v>20</v>
      </c>
    </row>
    <row r="38" spans="2:10" x14ac:dyDescent="0.2">
      <c r="B38" s="1" t="s">
        <v>21</v>
      </c>
    </row>
    <row r="40" spans="2:10" ht="15" x14ac:dyDescent="0.25">
      <c r="H40" s="3" t="s">
        <v>22</v>
      </c>
    </row>
    <row r="46" spans="2:10" x14ac:dyDescent="0.2">
      <c r="B46" s="1" t="s">
        <v>35</v>
      </c>
    </row>
    <row r="47" spans="2:10" x14ac:dyDescent="0.2">
      <c r="B47" s="1" t="s">
        <v>36</v>
      </c>
      <c r="J47" s="10">
        <f>+J33</f>
        <v>87242.43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4D99E-D057-4CE9-B05C-2602BE289975}">
  <dimension ref="A10:J47"/>
  <sheetViews>
    <sheetView tabSelected="1"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46</v>
      </c>
    </row>
    <row r="11" spans="6:6" x14ac:dyDescent="0.2">
      <c r="F11" s="1" t="s">
        <v>47</v>
      </c>
    </row>
    <row r="12" spans="6:6" x14ac:dyDescent="0.2">
      <c r="F12" s="1" t="s">
        <v>48</v>
      </c>
    </row>
    <row r="13" spans="6:6" x14ac:dyDescent="0.2">
      <c r="F13" s="1" t="s">
        <v>49</v>
      </c>
    </row>
    <row r="18" spans="1:10" x14ac:dyDescent="0.2">
      <c r="A18" s="1" t="s">
        <v>5</v>
      </c>
      <c r="G18" s="1" t="s">
        <v>41</v>
      </c>
    </row>
    <row r="23" spans="1:10" x14ac:dyDescent="0.2">
      <c r="B23" s="1" t="s">
        <v>6</v>
      </c>
    </row>
    <row r="25" spans="1:10" x14ac:dyDescent="0.2">
      <c r="B25" s="1" t="s">
        <v>7</v>
      </c>
    </row>
    <row r="26" spans="1:10" ht="15" x14ac:dyDescent="0.25">
      <c r="B26" s="1" t="s">
        <v>8</v>
      </c>
    </row>
    <row r="28" spans="1:10" ht="15" x14ac:dyDescent="0.25">
      <c r="B28" s="2" t="s">
        <v>9</v>
      </c>
      <c r="C28" s="4">
        <v>531</v>
      </c>
      <c r="D28" s="1" t="s">
        <v>10</v>
      </c>
      <c r="E28" s="5">
        <v>21.297000000000001</v>
      </c>
      <c r="F28" s="6" t="s">
        <v>11</v>
      </c>
      <c r="G28" s="7" t="s">
        <v>12</v>
      </c>
      <c r="H28" s="8">
        <v>6750</v>
      </c>
      <c r="I28" s="9" t="s">
        <v>13</v>
      </c>
      <c r="J28" s="11">
        <f>ROUND(+E28*H28, 2)</f>
        <v>143754.75</v>
      </c>
    </row>
    <row r="29" spans="1:10" ht="4.1500000000000004" customHeight="1" x14ac:dyDescent="0.2"/>
    <row r="30" spans="1:10" x14ac:dyDescent="0.2">
      <c r="F30" s="1" t="s">
        <v>14</v>
      </c>
      <c r="J30" s="8">
        <f>+J28</f>
        <v>143754.75</v>
      </c>
    </row>
    <row r="31" spans="1:10" x14ac:dyDescent="0.2">
      <c r="F31" s="1" t="s">
        <v>15</v>
      </c>
      <c r="H31" s="2" t="s">
        <v>16</v>
      </c>
      <c r="I31" s="1" t="s">
        <v>17</v>
      </c>
      <c r="J31" s="12">
        <f>ROUND(+J30*H31/100, 2)</f>
        <v>7906.51</v>
      </c>
    </row>
    <row r="32" spans="1:10" ht="4.1500000000000004" customHeight="1" x14ac:dyDescent="0.2"/>
    <row r="33" spans="2:10" ht="15" x14ac:dyDescent="0.25">
      <c r="F33" s="3" t="s">
        <v>18</v>
      </c>
      <c r="J33" s="13">
        <f>SUM(J30:J31)</f>
        <v>151661.26</v>
      </c>
    </row>
    <row r="35" spans="2:10" x14ac:dyDescent="0.2">
      <c r="B35" s="1" t="s">
        <v>19</v>
      </c>
    </row>
    <row r="37" spans="2:10" x14ac:dyDescent="0.2">
      <c r="B37" s="1" t="s">
        <v>20</v>
      </c>
    </row>
    <row r="38" spans="2:10" x14ac:dyDescent="0.2">
      <c r="B38" s="1" t="s">
        <v>21</v>
      </c>
    </row>
    <row r="40" spans="2:10" ht="15" x14ac:dyDescent="0.25">
      <c r="H40" s="3" t="s">
        <v>22</v>
      </c>
    </row>
    <row r="46" spans="2:10" x14ac:dyDescent="0.2">
      <c r="B46" s="1" t="s">
        <v>50</v>
      </c>
    </row>
    <row r="47" spans="2:10" x14ac:dyDescent="0.2">
      <c r="B47" s="1" t="s">
        <v>51</v>
      </c>
      <c r="J47" s="10">
        <f>+J33</f>
        <v>151661.26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2024-07-31T12:47:43Z</dcterms:created>
  <dcterms:modified xsi:type="dcterms:W3CDTF">2024-07-31T12:47:47Z</dcterms:modified>
</cp:coreProperties>
</file>