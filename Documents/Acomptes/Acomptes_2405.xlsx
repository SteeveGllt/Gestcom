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Dossier Dev\Informatique\Gestcom\Documents\Acomptes\"/>
    </mc:Choice>
  </mc:AlternateContent>
  <xr:revisionPtr revIDLastSave="0" documentId="8_{F949B10D-1CB3-4625-AE63-DAB96A531BF8}" xr6:coauthVersionLast="47" xr6:coauthVersionMax="47" xr10:uidLastSave="{00000000-0000-0000-0000-000000000000}"/>
  <bookViews>
    <workbookView xWindow="2325" yWindow="2235" windowWidth="21600" windowHeight="11295" firstSheet="4" activeTab="6" xr2:uid="{7AA76E0D-F087-4492-9963-C5C0844E84C2}"/>
  </bookViews>
  <sheets>
    <sheet name="Feuil1" sheetId="1" r:id="rId1"/>
    <sheet name="SCAF GRANGE DE VAIVRE    " sheetId="2" r:id="rId2"/>
    <sheet name="SCAF BRESSE JURASSIENNE  " sheetId="3" r:id="rId3"/>
    <sheet name="COOP MONTS DE JOUX" sheetId="4" r:id="rId4"/>
    <sheet name="SCAF LONGEVELLE-RUSSEY   " sheetId="5" r:id="rId5"/>
    <sheet name="COOP MONTS DE JOUX       " sheetId="6" r:id="rId6"/>
    <sheet name="SCAF LAVANS VUILLAFANS   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7" i="7" l="1"/>
  <c r="J33" i="7"/>
  <c r="J31" i="7"/>
  <c r="J30" i="7"/>
  <c r="J28" i="7"/>
  <c r="J47" i="6"/>
  <c r="J33" i="6"/>
  <c r="J31" i="6"/>
  <c r="J30" i="6"/>
  <c r="J28" i="6"/>
  <c r="J47" i="5"/>
  <c r="J33" i="5"/>
  <c r="J31" i="5"/>
  <c r="J30" i="5"/>
  <c r="J28" i="5"/>
  <c r="J47" i="4"/>
  <c r="J33" i="4"/>
  <c r="J31" i="4"/>
  <c r="J30" i="4"/>
  <c r="J28" i="4"/>
  <c r="J47" i="3"/>
  <c r="J33" i="3"/>
  <c r="J31" i="3"/>
  <c r="J30" i="3"/>
  <c r="J28" i="3"/>
  <c r="J47" i="2"/>
  <c r="J33" i="2"/>
  <c r="J31" i="2"/>
  <c r="J30" i="2"/>
  <c r="J28" i="2"/>
</calcChain>
</file>

<file path=xl/sharedStrings.xml><?xml version="1.0" encoding="utf-8"?>
<sst xmlns="http://schemas.openxmlformats.org/spreadsheetml/2006/main" count="144" uniqueCount="54">
  <si>
    <t xml:space="preserve">M PONCET FREDERIC        </t>
  </si>
  <si>
    <t xml:space="preserve">SCAF GRANGE DE VAIVRE    </t>
  </si>
  <si>
    <t xml:space="preserve">                         </t>
  </si>
  <si>
    <t xml:space="preserve">39600 GRANGE DE VAIVRE         </t>
  </si>
  <si>
    <t xml:space="preserve">      TB/PB</t>
  </si>
  <si>
    <t>Monsieur le Président</t>
  </si>
  <si>
    <t xml:space="preserve">          Nous vous prions de bien vouloir trouver ci-dessous, le détail</t>
  </si>
  <si>
    <t>du premier acompte sur votre lot de fabrication MAI 2024</t>
  </si>
  <si>
    <t>-</t>
  </si>
  <si>
    <t>pains</t>
  </si>
  <si>
    <t>T</t>
  </si>
  <si>
    <t>x</t>
  </si>
  <si>
    <t xml:space="preserve"> =</t>
  </si>
  <si>
    <t>Total HT</t>
  </si>
  <si>
    <t>T.V.A</t>
  </si>
  <si>
    <t>5,5</t>
  </si>
  <si>
    <t>%</t>
  </si>
  <si>
    <t>Total Réglé</t>
  </si>
  <si>
    <t xml:space="preserve">          Vous en souhaitant bonne réception</t>
  </si>
  <si>
    <t xml:space="preserve">          Nous vous prions d'agréer, Monsieur le Président, nos</t>
  </si>
  <si>
    <t>salutations distinguées</t>
  </si>
  <si>
    <t>Service Comptabilité</t>
  </si>
  <si>
    <t>PS : Nous virons ce jour, sur votre compte N° 12506 39029 50546581010 50</t>
  </si>
  <si>
    <t>CAFC SALINS LES BAINS   , la somme de</t>
  </si>
  <si>
    <t xml:space="preserve">M BUATOIS ANTHONY        </t>
  </si>
  <si>
    <t xml:space="preserve">SCAF BRESSE JURASSIENNE  </t>
  </si>
  <si>
    <t xml:space="preserve">3 PLACE DE LA MAIRIE     </t>
  </si>
  <si>
    <t xml:space="preserve">39140  DESNES                  </t>
  </si>
  <si>
    <t>PS : Nous virons ce jour, sur votre compte N° 12506 39023 40357496000 40</t>
  </si>
  <si>
    <t>CAFC POLIGNY            , la somme de</t>
  </si>
  <si>
    <t>ATELIER ANDELOT</t>
  </si>
  <si>
    <t>COOP MONTS DE JOUX</t>
  </si>
  <si>
    <t>36, Rue Laurent TROUTET</t>
  </si>
  <si>
    <t>25560 BANNANS</t>
  </si>
  <si>
    <t xml:space="preserve">PS : Nous virons ce jour, sur votre compte N° 0 0  </t>
  </si>
  <si>
    <t>, la somme de</t>
  </si>
  <si>
    <t xml:space="preserve">Mr DEVAUX JOHANN         </t>
  </si>
  <si>
    <t xml:space="preserve">SCAF LONGEVELLE/RUSSEY   </t>
  </si>
  <si>
    <t xml:space="preserve">2, rue du Conot          </t>
  </si>
  <si>
    <t>25380 CHARMOILLE</t>
  </si>
  <si>
    <t>PS : Nous virons ce jour, sur votre compte N° 12506 20017 11707951010 11</t>
  </si>
  <si>
    <t>CAFC SANCEY LE GRAND    , la somme de</t>
  </si>
  <si>
    <t>Atelier Gd Combe Chateleu</t>
  </si>
  <si>
    <t xml:space="preserve">COOP MONTS DE JOUX       </t>
  </si>
  <si>
    <t xml:space="preserve">36 Rue Laurent TROUTET   </t>
  </si>
  <si>
    <t xml:space="preserve">25560 BANNANS                  </t>
  </si>
  <si>
    <t xml:space="preserve">PS : Nous virons ce jour, sur votre compte N° 0 0               </t>
  </si>
  <si>
    <t xml:space="preserve">                        , la somme de</t>
  </si>
  <si>
    <t xml:space="preserve">MR JOANY LEPINE          </t>
  </si>
  <si>
    <t xml:space="preserve">SCAF LAVANS VUILLAFANS   </t>
  </si>
  <si>
    <t xml:space="preserve">6, Chemin des Clos Ronds </t>
  </si>
  <si>
    <t xml:space="preserve">25380  LAVANS VUILLAFANS       </t>
  </si>
  <si>
    <t>PS : Nous virons ce jour, sur votre compte N° 10807 6 22321737995 22</t>
  </si>
  <si>
    <t>BNP ORNANS              , la somme 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</si>
</sst>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\ ##0.000"/>
    <numFmt numFmtId="165" formatCode="#\ ##0.00\ &quot;€&quot;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2" fillId="0" borderId="0" xfId="0" applyFont="1"/>
    <xf numFmtId="0" fontId="2" fillId="0" borderId="0" xfId="0" applyFont="1" applyAlignment="1">
      <alignment horizontal="right"/>
    </xf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165" fontId="1" fillId="0" borderId="0" xfId="0" applyNumberFormat="1" applyFont="1" applyAlignment="1">
      <alignment horizontal="right"/>
    </xf>
    <xf numFmtId="0" fontId="1" fillId="0" borderId="0" xfId="0" applyFont="1" applyAlignment="1">
      <alignment horizontal="left"/>
    </xf>
    <xf numFmtId="165" fontId="1" fillId="0" borderId="0" xfId="0" applyNumberFormat="1" applyFont="1"/>
    <xf numFmtId="165" fontId="1" fillId="0" borderId="1" xfId="0" applyNumberFormat="1" applyFont="1" applyBorder="1" applyAlignment="1">
      <alignment horizontal="right"/>
    </xf>
    <xf numFmtId="165" fontId="1" fillId="0" borderId="1" xfId="0" applyNumberFormat="1" applyFont="1" applyBorder="1"/>
    <xf numFmtId="165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B6243-0E78-4646-9E4C-DF8F8DA178DE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1D124-3733-4DA5-8229-2509AC9D39ED}">
  <dimension ref="A10:J47"/>
  <sheetViews>
    <sheetView workbookViewId="0"/>
  </sheetViews>
  <sheetFormatPr baseColWidth="10" defaultRowHeight="14.25" x14ac:dyDescent="0.2"/>
  <cols>
    <col min="1" max="1" width="19.85546875" style="1" customWidth="1"/>
    <col min="2" max="2" width="4.28515625" style="1" customWidth="1"/>
    <col min="3" max="3" width="6.5703125" style="1" customWidth="1"/>
    <col min="4" max="4" width="7.42578125" style="1" customWidth="1"/>
    <col min="5" max="5" width="11.85546875" style="1" customWidth="1"/>
    <col min="6" max="6" width="4.28515625" style="1" customWidth="1"/>
    <col min="7" max="7" width="3" style="1" customWidth="1"/>
    <col min="8" max="8" width="13" style="1" customWidth="1"/>
    <col min="9" max="9" width="5" style="1" customWidth="1"/>
    <col min="10" max="10" width="16" style="1" customWidth="1"/>
    <col min="11" max="16384" width="11.42578125" style="1"/>
  </cols>
  <sheetData>
    <row r="10" spans="6:6" x14ac:dyDescent="0.2">
      <c r="F10" s="1" t="s">
        <v>0</v>
      </c>
    </row>
    <row r="11" spans="6:6" x14ac:dyDescent="0.2">
      <c r="F11" s="1" t="s">
        <v>1</v>
      </c>
    </row>
    <row r="12" spans="6:6" x14ac:dyDescent="0.2">
      <c r="F12" s="1" t="s">
        <v>2</v>
      </c>
    </row>
    <row r="13" spans="6:6" x14ac:dyDescent="0.2">
      <c r="F13" s="1" t="s">
        <v>3</v>
      </c>
    </row>
    <row r="18" spans="1:10" x14ac:dyDescent="0.2">
      <c r="A18" s="1" t="s">
        <v>4</v>
      </c>
    </row>
    <row r="23" spans="1:10" x14ac:dyDescent="0.2">
      <c r="B23" s="1" t="s">
        <v>5</v>
      </c>
    </row>
    <row r="25" spans="1:10" x14ac:dyDescent="0.2">
      <c r="B25" s="1" t="s">
        <v>6</v>
      </c>
    </row>
    <row r="26" spans="1:10" x14ac:dyDescent="0.2">
      <c r="B26" s="1" t="s">
        <v>7</v>
      </c>
    </row>
    <row r="28" spans="1:10" ht="15" x14ac:dyDescent="0.25">
      <c r="B28" s="2" t="s">
        <v>8</v>
      </c>
      <c r="C28" s="4">
        <v>104</v>
      </c>
      <c r="D28" s="1" t="s">
        <v>9</v>
      </c>
      <c r="E28" s="5">
        <v>3.6669999999999998</v>
      </c>
      <c r="F28" s="6" t="s">
        <v>10</v>
      </c>
      <c r="G28" s="7" t="s">
        <v>11</v>
      </c>
      <c r="H28" s="8">
        <v>6750</v>
      </c>
      <c r="I28" s="9" t="s">
        <v>12</v>
      </c>
      <c r="J28" s="11">
        <f>ROUND(+E28*H28, 2)</f>
        <v>24752.25</v>
      </c>
    </row>
    <row r="29" spans="1:10" ht="4.1500000000000004" customHeight="1" x14ac:dyDescent="0.2"/>
    <row r="30" spans="1:10" x14ac:dyDescent="0.2">
      <c r="F30" s="1" t="s">
        <v>13</v>
      </c>
      <c r="J30" s="8">
        <f>+J28</f>
        <v>24752.25</v>
      </c>
    </row>
    <row r="31" spans="1:10" x14ac:dyDescent="0.2">
      <c r="F31" s="1" t="s">
        <v>14</v>
      </c>
      <c r="H31" s="2" t="s">
        <v>15</v>
      </c>
      <c r="I31" s="1" t="s">
        <v>16</v>
      </c>
      <c r="J31" s="12">
        <f>ROUND(+J30*H31/100, 2)</f>
        <v>1361.37</v>
      </c>
    </row>
    <row r="32" spans="1:10" ht="4.1500000000000004" customHeight="1" x14ac:dyDescent="0.2"/>
    <row r="33" spans="2:10" ht="15" x14ac:dyDescent="0.25">
      <c r="F33" s="3" t="s">
        <v>17</v>
      </c>
      <c r="J33" s="13">
        <f>SUM(J30:J31)</f>
        <v>26113.62</v>
      </c>
    </row>
    <row r="35" spans="2:10" x14ac:dyDescent="0.2">
      <c r="B35" s="1" t="s">
        <v>18</v>
      </c>
    </row>
    <row r="37" spans="2:10" x14ac:dyDescent="0.2">
      <c r="B37" s="1" t="s">
        <v>19</v>
      </c>
    </row>
    <row r="38" spans="2:10" x14ac:dyDescent="0.2">
      <c r="B38" s="1" t="s">
        <v>20</v>
      </c>
    </row>
    <row r="40" spans="2:10" ht="15" x14ac:dyDescent="0.25">
      <c r="H40" s="3" t="s">
        <v>21</v>
      </c>
    </row>
    <row r="46" spans="2:10" x14ac:dyDescent="0.2">
      <c r="B46" s="1" t="s">
        <v>22</v>
      </c>
    </row>
    <row r="47" spans="2:10" x14ac:dyDescent="0.2">
      <c r="B47" s="1" t="s">
        <v>23</v>
      </c>
      <c r="J47" s="10">
        <f>+J33</f>
        <v>26113.62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D3C8D-F8C9-4F6A-98DB-8A59F8978868}">
  <dimension ref="A10:J47"/>
  <sheetViews>
    <sheetView workbookViewId="0"/>
  </sheetViews>
  <sheetFormatPr baseColWidth="10" defaultRowHeight="14.25" x14ac:dyDescent="0.2"/>
  <cols>
    <col min="1" max="1" width="19.85546875" style="1" customWidth="1"/>
    <col min="2" max="2" width="4.28515625" style="1" customWidth="1"/>
    <col min="3" max="3" width="6.5703125" style="1" customWidth="1"/>
    <col min="4" max="4" width="7.42578125" style="1" customWidth="1"/>
    <col min="5" max="5" width="11.85546875" style="1" customWidth="1"/>
    <col min="6" max="6" width="4.28515625" style="1" customWidth="1"/>
    <col min="7" max="7" width="3" style="1" customWidth="1"/>
    <col min="8" max="8" width="13" style="1" customWidth="1"/>
    <col min="9" max="9" width="5" style="1" customWidth="1"/>
    <col min="10" max="10" width="16" style="1" customWidth="1"/>
    <col min="11" max="16384" width="11.42578125" style="1"/>
  </cols>
  <sheetData>
    <row r="10" spans="6:6" x14ac:dyDescent="0.2">
      <c r="F10" s="1" t="s">
        <v>24</v>
      </c>
    </row>
    <row r="11" spans="6:6" x14ac:dyDescent="0.2">
      <c r="F11" s="1" t="s">
        <v>25</v>
      </c>
    </row>
    <row r="12" spans="6:6" x14ac:dyDescent="0.2">
      <c r="F12" s="1" t="s">
        <v>26</v>
      </c>
    </row>
    <row r="13" spans="6:6" x14ac:dyDescent="0.2">
      <c r="F13" s="1" t="s">
        <v>27</v>
      </c>
    </row>
    <row r="18" spans="1:10" x14ac:dyDescent="0.2">
      <c r="A18" s="1" t="s">
        <v>4</v>
      </c>
    </row>
    <row r="23" spans="1:10" x14ac:dyDescent="0.2">
      <c r="B23" s="1" t="s">
        <v>5</v>
      </c>
    </row>
    <row r="25" spans="1:10" x14ac:dyDescent="0.2">
      <c r="B25" s="1" t="s">
        <v>6</v>
      </c>
    </row>
    <row r="26" spans="1:10" x14ac:dyDescent="0.2">
      <c r="B26" s="1" t="s">
        <v>7</v>
      </c>
    </row>
    <row r="28" spans="1:10" ht="15" x14ac:dyDescent="0.25">
      <c r="B28" s="2" t="s">
        <v>8</v>
      </c>
      <c r="C28" s="4">
        <v>392</v>
      </c>
      <c r="D28" s="1" t="s">
        <v>9</v>
      </c>
      <c r="E28" s="5">
        <v>14.491</v>
      </c>
      <c r="F28" s="6" t="s">
        <v>10</v>
      </c>
      <c r="G28" s="7" t="s">
        <v>11</v>
      </c>
      <c r="H28" s="8">
        <v>6750</v>
      </c>
      <c r="I28" s="9" t="s">
        <v>12</v>
      </c>
      <c r="J28" s="11">
        <f>ROUND(+E28*H28, 2)</f>
        <v>97814.25</v>
      </c>
    </row>
    <row r="29" spans="1:10" ht="4.1500000000000004" customHeight="1" x14ac:dyDescent="0.2"/>
    <row r="30" spans="1:10" x14ac:dyDescent="0.2">
      <c r="F30" s="1" t="s">
        <v>13</v>
      </c>
      <c r="J30" s="8">
        <f>+J28</f>
        <v>97814.25</v>
      </c>
    </row>
    <row r="31" spans="1:10" x14ac:dyDescent="0.2">
      <c r="F31" s="1" t="s">
        <v>14</v>
      </c>
      <c r="H31" s="2" t="s">
        <v>15</v>
      </c>
      <c r="I31" s="1" t="s">
        <v>16</v>
      </c>
      <c r="J31" s="12">
        <f>ROUND(+J30*H31/100, 2)</f>
        <v>5379.78</v>
      </c>
    </row>
    <row r="32" spans="1:10" ht="4.1500000000000004" customHeight="1" x14ac:dyDescent="0.2"/>
    <row r="33" spans="2:10" ht="15" x14ac:dyDescent="0.25">
      <c r="F33" s="3" t="s">
        <v>17</v>
      </c>
      <c r="J33" s="13">
        <f>SUM(J30:J31)</f>
        <v>103194.03</v>
      </c>
    </row>
    <row r="35" spans="2:10" x14ac:dyDescent="0.2">
      <c r="B35" s="1" t="s">
        <v>18</v>
      </c>
    </row>
    <row r="37" spans="2:10" x14ac:dyDescent="0.2">
      <c r="B37" s="1" t="s">
        <v>19</v>
      </c>
    </row>
    <row r="38" spans="2:10" x14ac:dyDescent="0.2">
      <c r="B38" s="1" t="s">
        <v>20</v>
      </c>
    </row>
    <row r="40" spans="2:10" ht="15" x14ac:dyDescent="0.25">
      <c r="H40" s="3" t="s">
        <v>21</v>
      </c>
    </row>
    <row r="46" spans="2:10" x14ac:dyDescent="0.2">
      <c r="B46" s="1" t="s">
        <v>28</v>
      </c>
    </row>
    <row r="47" spans="2:10" x14ac:dyDescent="0.2">
      <c r="B47" s="1" t="s">
        <v>29</v>
      </c>
      <c r="J47" s="10">
        <f>+J33</f>
        <v>103194.03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93CDF-2345-4EF2-B4AC-F970ADC0708C}">
  <dimension ref="A10:J47"/>
  <sheetViews>
    <sheetView workbookViewId="0"/>
  </sheetViews>
  <sheetFormatPr baseColWidth="10" defaultRowHeight="14.25" x14ac:dyDescent="0.2"/>
  <cols>
    <col min="1" max="1" width="19.85546875" style="1" customWidth="1"/>
    <col min="2" max="2" width="4.28515625" style="1" customWidth="1"/>
    <col min="3" max="3" width="6.5703125" style="1" customWidth="1"/>
    <col min="4" max="4" width="7.42578125" style="1" customWidth="1"/>
    <col min="5" max="5" width="11.85546875" style="1" customWidth="1"/>
    <col min="6" max="6" width="4.28515625" style="1" customWidth="1"/>
    <col min="7" max="7" width="3" style="1" customWidth="1"/>
    <col min="8" max="8" width="13" style="1" customWidth="1"/>
    <col min="9" max="9" width="5" style="1" customWidth="1"/>
    <col min="10" max="10" width="16" style="1" customWidth="1"/>
    <col min="11" max="16384" width="11.42578125" style="1"/>
  </cols>
  <sheetData>
    <row r="10" spans="6:6" x14ac:dyDescent="0.2">
      <c r="F10" s="1" t="s">
        <v>30</v>
      </c>
    </row>
    <row r="11" spans="6:6" x14ac:dyDescent="0.2">
      <c r="F11" s="1" t="s">
        <v>31</v>
      </c>
    </row>
    <row r="12" spans="6:6" x14ac:dyDescent="0.2">
      <c r="F12" s="1" t="s">
        <v>32</v>
      </c>
    </row>
    <row r="13" spans="6:6" x14ac:dyDescent="0.2">
      <c r="F13" s="1" t="s">
        <v>33</v>
      </c>
    </row>
    <row r="18" spans="1:10" x14ac:dyDescent="0.2">
      <c r="A18" s="1" t="s">
        <v>4</v>
      </c>
    </row>
    <row r="23" spans="1:10" x14ac:dyDescent="0.2">
      <c r="B23" s="1" t="s">
        <v>5</v>
      </c>
    </row>
    <row r="25" spans="1:10" x14ac:dyDescent="0.2">
      <c r="B25" s="1" t="s">
        <v>6</v>
      </c>
    </row>
    <row r="26" spans="1:10" x14ac:dyDescent="0.2">
      <c r="B26" s="1" t="s">
        <v>7</v>
      </c>
    </row>
    <row r="28" spans="1:10" ht="15" x14ac:dyDescent="0.25">
      <c r="B28" s="2" t="s">
        <v>8</v>
      </c>
      <c r="C28" s="4">
        <v>288</v>
      </c>
      <c r="D28" s="1" t="s">
        <v>9</v>
      </c>
      <c r="E28" s="5">
        <v>11.634</v>
      </c>
      <c r="F28" s="6" t="s">
        <v>10</v>
      </c>
      <c r="G28" s="7" t="s">
        <v>11</v>
      </c>
      <c r="H28" s="8">
        <v>6750</v>
      </c>
      <c r="I28" s="9" t="s">
        <v>12</v>
      </c>
      <c r="J28" s="11">
        <f>ROUND(+E28*H28, 2)</f>
        <v>78529.5</v>
      </c>
    </row>
    <row r="29" spans="1:10" ht="4.1500000000000004" customHeight="1" x14ac:dyDescent="0.2"/>
    <row r="30" spans="1:10" x14ac:dyDescent="0.2">
      <c r="F30" s="1" t="s">
        <v>13</v>
      </c>
      <c r="J30" s="8">
        <f>+J28</f>
        <v>78529.5</v>
      </c>
    </row>
    <row r="31" spans="1:10" x14ac:dyDescent="0.2">
      <c r="F31" s="1" t="s">
        <v>14</v>
      </c>
      <c r="H31" s="2" t="s">
        <v>15</v>
      </c>
      <c r="I31" s="1" t="s">
        <v>16</v>
      </c>
      <c r="J31" s="12">
        <f>ROUND(+J30*H31/100, 2)</f>
        <v>4319.12</v>
      </c>
    </row>
    <row r="32" spans="1:10" ht="4.1500000000000004" customHeight="1" x14ac:dyDescent="0.2"/>
    <row r="33" spans="2:10" ht="15" x14ac:dyDescent="0.25">
      <c r="F33" s="3" t="s">
        <v>17</v>
      </c>
      <c r="J33" s="13">
        <f>SUM(J30:J31)</f>
        <v>82848.62</v>
      </c>
    </row>
    <row r="35" spans="2:10" x14ac:dyDescent="0.2">
      <c r="B35" s="1" t="s">
        <v>18</v>
      </c>
    </row>
    <row r="37" spans="2:10" x14ac:dyDescent="0.2">
      <c r="B37" s="1" t="s">
        <v>19</v>
      </c>
    </row>
    <row r="38" spans="2:10" x14ac:dyDescent="0.2">
      <c r="B38" s="1" t="s">
        <v>20</v>
      </c>
    </row>
    <row r="40" spans="2:10" ht="15" x14ac:dyDescent="0.25">
      <c r="H40" s="3" t="s">
        <v>21</v>
      </c>
    </row>
    <row r="46" spans="2:10" x14ac:dyDescent="0.2">
      <c r="B46" s="1" t="s">
        <v>34</v>
      </c>
    </row>
    <row r="47" spans="2:10" x14ac:dyDescent="0.2">
      <c r="B47" s="1" t="s">
        <v>35</v>
      </c>
      <c r="J47" s="10">
        <f>+J33</f>
        <v>82848.62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EC72F-B3C2-4C65-B65B-B5571E9B54F0}">
  <dimension ref="A10:J47"/>
  <sheetViews>
    <sheetView workbookViewId="0"/>
  </sheetViews>
  <sheetFormatPr baseColWidth="10" defaultRowHeight="14.25" x14ac:dyDescent="0.2"/>
  <cols>
    <col min="1" max="1" width="19.85546875" style="1" customWidth="1"/>
    <col min="2" max="2" width="4.28515625" style="1" customWidth="1"/>
    <col min="3" max="3" width="6.5703125" style="1" customWidth="1"/>
    <col min="4" max="4" width="7.42578125" style="1" customWidth="1"/>
    <col min="5" max="5" width="11.85546875" style="1" customWidth="1"/>
    <col min="6" max="6" width="4.28515625" style="1" customWidth="1"/>
    <col min="7" max="7" width="3" style="1" customWidth="1"/>
    <col min="8" max="8" width="13" style="1" customWidth="1"/>
    <col min="9" max="9" width="5" style="1" customWidth="1"/>
    <col min="10" max="10" width="16" style="1" customWidth="1"/>
    <col min="11" max="16384" width="11.42578125" style="1"/>
  </cols>
  <sheetData>
    <row r="10" spans="6:6" x14ac:dyDescent="0.2">
      <c r="F10" s="1" t="s">
        <v>36</v>
      </c>
    </row>
    <row r="11" spans="6:6" x14ac:dyDescent="0.2">
      <c r="F11" s="1" t="s">
        <v>37</v>
      </c>
    </row>
    <row r="12" spans="6:6" x14ac:dyDescent="0.2">
      <c r="F12" s="1" t="s">
        <v>38</v>
      </c>
    </row>
    <row r="13" spans="6:6" x14ac:dyDescent="0.2">
      <c r="F13" s="1" t="s">
        <v>39</v>
      </c>
    </row>
    <row r="18" spans="1:10" x14ac:dyDescent="0.2">
      <c r="A18" s="1" t="s">
        <v>4</v>
      </c>
    </row>
    <row r="23" spans="1:10" x14ac:dyDescent="0.2">
      <c r="B23" s="1" t="s">
        <v>5</v>
      </c>
    </row>
    <row r="25" spans="1:10" x14ac:dyDescent="0.2">
      <c r="B25" s="1" t="s">
        <v>6</v>
      </c>
    </row>
    <row r="26" spans="1:10" x14ac:dyDescent="0.2">
      <c r="B26" s="1" t="s">
        <v>7</v>
      </c>
    </row>
    <row r="28" spans="1:10" ht="15" x14ac:dyDescent="0.25">
      <c r="B28" s="2" t="s">
        <v>8</v>
      </c>
      <c r="C28" s="4">
        <v>672</v>
      </c>
      <c r="D28" s="1" t="s">
        <v>9</v>
      </c>
      <c r="E28" s="5">
        <v>25.975999999999999</v>
      </c>
      <c r="F28" s="6" t="s">
        <v>10</v>
      </c>
      <c r="G28" s="7" t="s">
        <v>11</v>
      </c>
      <c r="H28" s="8">
        <v>6750</v>
      </c>
      <c r="I28" s="9" t="s">
        <v>12</v>
      </c>
      <c r="J28" s="11">
        <f>ROUND(+E28*H28, 2)</f>
        <v>175338</v>
      </c>
    </row>
    <row r="29" spans="1:10" ht="4.1500000000000004" customHeight="1" x14ac:dyDescent="0.2"/>
    <row r="30" spans="1:10" x14ac:dyDescent="0.2">
      <c r="F30" s="1" t="s">
        <v>13</v>
      </c>
      <c r="J30" s="8">
        <f>+J28</f>
        <v>175338</v>
      </c>
    </row>
    <row r="31" spans="1:10" x14ac:dyDescent="0.2">
      <c r="F31" s="1" t="s">
        <v>14</v>
      </c>
      <c r="H31" s="2" t="s">
        <v>15</v>
      </c>
      <c r="I31" s="1" t="s">
        <v>16</v>
      </c>
      <c r="J31" s="12">
        <f>ROUND(+J30*H31/100, 2)</f>
        <v>9643.59</v>
      </c>
    </row>
    <row r="32" spans="1:10" ht="4.1500000000000004" customHeight="1" x14ac:dyDescent="0.2"/>
    <row r="33" spans="2:10" ht="15" x14ac:dyDescent="0.25">
      <c r="F33" s="3" t="s">
        <v>17</v>
      </c>
      <c r="J33" s="13">
        <f>SUM(J30:J31)</f>
        <v>184981.59</v>
      </c>
    </row>
    <row r="35" spans="2:10" x14ac:dyDescent="0.2">
      <c r="B35" s="1" t="s">
        <v>18</v>
      </c>
    </row>
    <row r="37" spans="2:10" x14ac:dyDescent="0.2">
      <c r="B37" s="1" t="s">
        <v>19</v>
      </c>
    </row>
    <row r="38" spans="2:10" x14ac:dyDescent="0.2">
      <c r="B38" s="1" t="s">
        <v>20</v>
      </c>
    </row>
    <row r="40" spans="2:10" ht="15" x14ac:dyDescent="0.25">
      <c r="H40" s="3" t="s">
        <v>21</v>
      </c>
    </row>
    <row r="46" spans="2:10" x14ac:dyDescent="0.2">
      <c r="B46" s="1" t="s">
        <v>40</v>
      </c>
    </row>
    <row r="47" spans="2:10" x14ac:dyDescent="0.2">
      <c r="B47" s="1" t="s">
        <v>41</v>
      </c>
      <c r="J47" s="10">
        <f>+J33</f>
        <v>184981.59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E4C0A-EB57-44D1-83EA-AF4567D1F929}">
  <dimension ref="A10:J47"/>
  <sheetViews>
    <sheetView workbookViewId="0"/>
  </sheetViews>
  <sheetFormatPr baseColWidth="10" defaultRowHeight="14.25" x14ac:dyDescent="0.2"/>
  <cols>
    <col min="1" max="1" width="19.85546875" style="1" customWidth="1"/>
    <col min="2" max="2" width="4.28515625" style="1" customWidth="1"/>
    <col min="3" max="3" width="6.5703125" style="1" customWidth="1"/>
    <col min="4" max="4" width="7.42578125" style="1" customWidth="1"/>
    <col min="5" max="5" width="11.85546875" style="1" customWidth="1"/>
    <col min="6" max="6" width="4.28515625" style="1" customWidth="1"/>
    <col min="7" max="7" width="3" style="1" customWidth="1"/>
    <col min="8" max="8" width="13" style="1" customWidth="1"/>
    <col min="9" max="9" width="5" style="1" customWidth="1"/>
    <col min="10" max="10" width="16" style="1" customWidth="1"/>
    <col min="11" max="16384" width="11.42578125" style="1"/>
  </cols>
  <sheetData>
    <row r="10" spans="6:6" x14ac:dyDescent="0.2">
      <c r="F10" s="1" t="s">
        <v>42</v>
      </c>
    </row>
    <row r="11" spans="6:6" x14ac:dyDescent="0.2">
      <c r="F11" s="1" t="s">
        <v>43</v>
      </c>
    </row>
    <row r="12" spans="6:6" x14ac:dyDescent="0.2">
      <c r="F12" s="1" t="s">
        <v>44</v>
      </c>
    </row>
    <row r="13" spans="6:6" x14ac:dyDescent="0.2">
      <c r="F13" s="1" t="s">
        <v>45</v>
      </c>
    </row>
    <row r="18" spans="1:10" x14ac:dyDescent="0.2">
      <c r="A18" s="1" t="s">
        <v>4</v>
      </c>
    </row>
    <row r="23" spans="1:10" x14ac:dyDescent="0.2">
      <c r="B23" s="1" t="s">
        <v>5</v>
      </c>
    </row>
    <row r="25" spans="1:10" x14ac:dyDescent="0.2">
      <c r="B25" s="1" t="s">
        <v>6</v>
      </c>
    </row>
    <row r="26" spans="1:10" x14ac:dyDescent="0.2">
      <c r="B26" s="1" t="s">
        <v>7</v>
      </c>
    </row>
    <row r="28" spans="1:10" ht="15" x14ac:dyDescent="0.25">
      <c r="B28" s="2" t="s">
        <v>8</v>
      </c>
      <c r="C28" s="4">
        <v>312</v>
      </c>
      <c r="D28" s="1" t="s">
        <v>9</v>
      </c>
      <c r="E28" s="5">
        <v>12.250999999999999</v>
      </c>
      <c r="F28" s="6" t="s">
        <v>10</v>
      </c>
      <c r="G28" s="7" t="s">
        <v>11</v>
      </c>
      <c r="H28" s="8">
        <v>6750</v>
      </c>
      <c r="I28" s="9" t="s">
        <v>12</v>
      </c>
      <c r="J28" s="11">
        <f>ROUND(+E28*H28, 2)</f>
        <v>82694.25</v>
      </c>
    </row>
    <row r="29" spans="1:10" ht="4.1500000000000004" customHeight="1" x14ac:dyDescent="0.2"/>
    <row r="30" spans="1:10" x14ac:dyDescent="0.2">
      <c r="F30" s="1" t="s">
        <v>13</v>
      </c>
      <c r="J30" s="8">
        <f>+J28</f>
        <v>82694.25</v>
      </c>
    </row>
    <row r="31" spans="1:10" x14ac:dyDescent="0.2">
      <c r="F31" s="1" t="s">
        <v>14</v>
      </c>
      <c r="H31" s="2" t="s">
        <v>15</v>
      </c>
      <c r="I31" s="1" t="s">
        <v>16</v>
      </c>
      <c r="J31" s="12">
        <f>ROUND(+J30*H31/100, 2)</f>
        <v>4548.18</v>
      </c>
    </row>
    <row r="32" spans="1:10" ht="4.1500000000000004" customHeight="1" x14ac:dyDescent="0.2"/>
    <row r="33" spans="2:10" ht="15" x14ac:dyDescent="0.25">
      <c r="F33" s="3" t="s">
        <v>17</v>
      </c>
      <c r="J33" s="13">
        <f>SUM(J30:J31)</f>
        <v>87242.43</v>
      </c>
    </row>
    <row r="35" spans="2:10" x14ac:dyDescent="0.2">
      <c r="B35" s="1" t="s">
        <v>18</v>
      </c>
    </row>
    <row r="37" spans="2:10" x14ac:dyDescent="0.2">
      <c r="B37" s="1" t="s">
        <v>19</v>
      </c>
    </row>
    <row r="38" spans="2:10" x14ac:dyDescent="0.2">
      <c r="B38" s="1" t="s">
        <v>20</v>
      </c>
    </row>
    <row r="40" spans="2:10" ht="15" x14ac:dyDescent="0.25">
      <c r="H40" s="3" t="s">
        <v>21</v>
      </c>
    </row>
    <row r="46" spans="2:10" x14ac:dyDescent="0.2">
      <c r="B46" s="1" t="s">
        <v>46</v>
      </c>
    </row>
    <row r="47" spans="2:10" x14ac:dyDescent="0.2">
      <c r="B47" s="1" t="s">
        <v>47</v>
      </c>
      <c r="J47" s="10">
        <f>+J33</f>
        <v>87242.43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D3F257-6579-4103-A20C-50770285AE09}">
  <dimension ref="A10:J47"/>
  <sheetViews>
    <sheetView tabSelected="1" workbookViewId="0"/>
  </sheetViews>
  <sheetFormatPr baseColWidth="10" defaultRowHeight="14.25" x14ac:dyDescent="0.2"/>
  <cols>
    <col min="1" max="1" width="19.85546875" style="1" customWidth="1"/>
    <col min="2" max="2" width="4.28515625" style="1" customWidth="1"/>
    <col min="3" max="3" width="6.5703125" style="1" customWidth="1"/>
    <col min="4" max="4" width="7.42578125" style="1" customWidth="1"/>
    <col min="5" max="5" width="11.85546875" style="1" customWidth="1"/>
    <col min="6" max="6" width="4.28515625" style="1" customWidth="1"/>
    <col min="7" max="7" width="3" style="1" customWidth="1"/>
    <col min="8" max="8" width="13" style="1" customWidth="1"/>
    <col min="9" max="9" width="5" style="1" customWidth="1"/>
    <col min="10" max="10" width="16" style="1" customWidth="1"/>
    <col min="11" max="16384" width="11.42578125" style="1"/>
  </cols>
  <sheetData>
    <row r="10" spans="6:6" x14ac:dyDescent="0.2">
      <c r="F10" s="1" t="s">
        <v>48</v>
      </c>
    </row>
    <row r="11" spans="6:6" x14ac:dyDescent="0.2">
      <c r="F11" s="1" t="s">
        <v>49</v>
      </c>
    </row>
    <row r="12" spans="6:6" x14ac:dyDescent="0.2">
      <c r="F12" s="1" t="s">
        <v>50</v>
      </c>
    </row>
    <row r="13" spans="6:6" x14ac:dyDescent="0.2">
      <c r="F13" s="1" t="s">
        <v>51</v>
      </c>
    </row>
    <row r="18" spans="1:10" x14ac:dyDescent="0.2">
      <c r="A18" s="1" t="s">
        <v>4</v>
      </c>
    </row>
    <row r="23" spans="1:10" x14ac:dyDescent="0.2">
      <c r="B23" s="1" t="s">
        <v>5</v>
      </c>
    </row>
    <row r="25" spans="1:10" x14ac:dyDescent="0.2">
      <c r="B25" s="1" t="s">
        <v>6</v>
      </c>
    </row>
    <row r="26" spans="1:10" x14ac:dyDescent="0.2">
      <c r="B26" s="1" t="s">
        <v>7</v>
      </c>
    </row>
    <row r="28" spans="1:10" ht="15" x14ac:dyDescent="0.25">
      <c r="B28" s="2" t="s">
        <v>8</v>
      </c>
      <c r="C28" s="4">
        <v>531</v>
      </c>
      <c r="D28" s="1" t="s">
        <v>9</v>
      </c>
      <c r="E28" s="5">
        <v>21.297000000000001</v>
      </c>
      <c r="F28" s="6" t="s">
        <v>10</v>
      </c>
      <c r="G28" s="7" t="s">
        <v>11</v>
      </c>
      <c r="H28" s="8">
        <v>6750</v>
      </c>
      <c r="I28" s="9" t="s">
        <v>12</v>
      </c>
      <c r="J28" s="11">
        <f>ROUND(+E28*H28, 2)</f>
        <v>143754.75</v>
      </c>
    </row>
    <row r="29" spans="1:10" ht="4.1500000000000004" customHeight="1" x14ac:dyDescent="0.2"/>
    <row r="30" spans="1:10" x14ac:dyDescent="0.2">
      <c r="F30" s="1" t="s">
        <v>13</v>
      </c>
      <c r="J30" s="8">
        <f>+J28</f>
        <v>143754.75</v>
      </c>
    </row>
    <row r="31" spans="1:10" x14ac:dyDescent="0.2">
      <c r="F31" s="1" t="s">
        <v>14</v>
      </c>
      <c r="H31" s="2" t="s">
        <v>15</v>
      </c>
      <c r="I31" s="1" t="s">
        <v>16</v>
      </c>
      <c r="J31" s="12">
        <f>ROUND(+J30*H31/100, 2)</f>
        <v>7906.51</v>
      </c>
    </row>
    <row r="32" spans="1:10" ht="4.1500000000000004" customHeight="1" x14ac:dyDescent="0.2"/>
    <row r="33" spans="2:10" ht="15" x14ac:dyDescent="0.25">
      <c r="F33" s="3" t="s">
        <v>17</v>
      </c>
      <c r="J33" s="13">
        <f>SUM(J30:J31)</f>
        <v>151661.26</v>
      </c>
    </row>
    <row r="35" spans="2:10" x14ac:dyDescent="0.2">
      <c r="B35" s="1" t="s">
        <v>18</v>
      </c>
    </row>
    <row r="37" spans="2:10" x14ac:dyDescent="0.2">
      <c r="B37" s="1" t="s">
        <v>19</v>
      </c>
    </row>
    <row r="38" spans="2:10" x14ac:dyDescent="0.2">
      <c r="B38" s="1" t="s">
        <v>20</v>
      </c>
    </row>
    <row r="40" spans="2:10" ht="15" x14ac:dyDescent="0.25">
      <c r="H40" s="3" t="s">
        <v>21</v>
      </c>
    </row>
    <row r="46" spans="2:10" x14ac:dyDescent="0.2">
      <c r="B46" s="1" t="s">
        <v>52</v>
      </c>
    </row>
    <row r="47" spans="2:10" x14ac:dyDescent="0.2">
      <c r="B47" s="1" t="s">
        <v>53</v>
      </c>
      <c r="J47" s="10">
        <f>+J33</f>
        <v>151661.26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Feuil1</vt:lpstr>
      <vt:lpstr>SCAF GRANGE DE VAIVRE    </vt:lpstr>
      <vt:lpstr>SCAF BRESSE JURASSIENNE  </vt:lpstr>
      <vt:lpstr>COOP MONTS DE JOUX</vt:lpstr>
      <vt:lpstr>SCAF LONGEVELLE-RUSSEY   </vt:lpstr>
      <vt:lpstr>COOP MONTS DE JOUX       </vt:lpstr>
      <vt:lpstr>SCAF LAVANS VUILLAFANS  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steeve guillot</dc:creator>
  <cp:lastModifiedBy>steeve guillot</cp:lastModifiedBy>
  <dcterms:created xsi:type="dcterms:W3CDTF">2024-07-18T07:16:53Z</dcterms:created>
  <dcterms:modified xsi:type="dcterms:W3CDTF">2024-07-18T07:19:31Z</dcterms:modified>
</cp:coreProperties>
</file>