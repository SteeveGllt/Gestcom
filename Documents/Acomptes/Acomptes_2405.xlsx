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B58B837C-7A6B-45EC-9215-CD93A542B865}" xr6:coauthVersionLast="47" xr6:coauthVersionMax="47" xr10:uidLastSave="{00000000-0000-0000-0000-000000000000}"/>
  <bookViews>
    <workbookView xWindow="-24390" yWindow="2685" windowWidth="21600" windowHeight="11295" firstSheet="4" activeTab="6" xr2:uid="{911293AD-42CC-4B40-AA3D-53F6B9A3215B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7" l="1"/>
  <c r="J33" i="7"/>
  <c r="J31" i="7"/>
  <c r="J30" i="7"/>
  <c r="J28" i="7"/>
  <c r="J47" i="6"/>
  <c r="J33" i="6"/>
  <c r="J31" i="6"/>
  <c r="J30" i="6"/>
  <c r="J28" i="6"/>
  <c r="J47" i="5"/>
  <c r="J33" i="5"/>
  <c r="J31" i="5"/>
  <c r="J30" i="5"/>
  <c r="J28" i="5"/>
  <c r="J47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<sst xmlns="http://schemas.openxmlformats.org/spreadsheetml/2006/main" count="144" uniqueCount="50">
  <si>
    <t>SCAF DE LA FRUITIERE DU VAL DE LOUE</t>
  </si>
  <si>
    <t>Mr Frédéric PONCET</t>
  </si>
  <si>
    <t xml:space="preserve">                         </t>
  </si>
  <si>
    <t xml:space="preserve">39600 GRANGE DE VAIVRE         </t>
  </si>
  <si>
    <t xml:space="preserve">      TB/PB</t>
  </si>
  <si>
    <t>Monsieur le Président</t>
  </si>
  <si>
    <t xml:space="preserve">          Nous vous prions de bien vouloir trouver ci-dessous, le détail</t>
  </si>
  <si>
    <t>du premier acompte sur votre lot de fabrication MAI 2024</t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</si>
  <si>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</si>
  <si>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</si>
  <si>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</si>
  <si>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</si>
  <si>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</si>
  <si>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</si>
  <si>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</si>
  <si>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</si>
  <si>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</si>
  <si>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</si>
  <si>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</si>
  <si>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</si>
  <si>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</si>
  <si>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</si>
  <si>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</si>
  <si>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</si>
  <si>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SCAF BRESSE JURASSIENNE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</si>
  <si>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</si>
  <si>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</si>
  <si>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</si>
  <si>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</si>
  <si>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</si>
  <si>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COOPERATIVE DES MONTS DE JOUX</t>
  </si>
  <si>
    <t>ATELIER ANDELOT</t>
  </si>
  <si>
    <t>36 Rue Laurent Troutet</t>
  </si>
  <si>
    <t>25560  BANANS</t>
  </si>
  <si>
    <t xml:space="preserve">PS : Nous virons ce jour, sur votre compte N° 0 0               </t>
  </si>
  <si>
    <t xml:space="preserve">                        , la somme de</t>
  </si>
  <si>
    <t>SCAF DE LONGEVELLE</t>
  </si>
  <si>
    <t>Mr Johann DEVAUX</t>
  </si>
  <si>
    <t xml:space="preserve">2, rue du Conot          </t>
  </si>
  <si>
    <t xml:space="preserve">25380  CHARMOILLE              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</si>
  <si>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</si>
  <si>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</si>
  <si>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</si>
  <si>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</si>
  <si>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SCAF DE LAVANS VUILLAFANS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</si>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</sst>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3C966-6B4A-46AE-A8DB-AE4C0899C4B9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0BF9E-6ABE-4FDD-89DA-1733FE16F304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0</v>
      </c>
    </row>
    <row r="11" spans="6:6" x14ac:dyDescent="0.2">
      <c r="F11" s="1" t="s">
        <v>1</v>
      </c>
    </row>
    <row r="12" spans="6:6" x14ac:dyDescent="0.2">
      <c r="F12" s="1" t="s">
        <v>2</v>
      </c>
    </row>
    <row r="13" spans="6:6" x14ac:dyDescent="0.2">
      <c r="F13" s="1" t="s">
        <v>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104</v>
      </c>
      <c r="D28" s="1" t="s">
        <v>9</v>
      </c>
      <c r="E28" s="5">
        <v>3.6669999999999998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24752.25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24752.25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1361.37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26113.62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22</v>
      </c>
    </row>
    <row r="47" spans="2:10" x14ac:dyDescent="0.2">
      <c r="B47" s="1" t="s">
        <v>23</v>
      </c>
      <c r="J47" s="10">
        <f>+J33</f>
        <v>26113.62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74584-9FBB-4C75-B54B-2D613EACFE91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24</v>
      </c>
    </row>
    <row r="11" spans="6:6" x14ac:dyDescent="0.2">
      <c r="F11" s="1" t="s">
        <v>25</v>
      </c>
    </row>
    <row r="12" spans="6:6" x14ac:dyDescent="0.2">
      <c r="F12" s="1" t="s">
        <v>26</v>
      </c>
    </row>
    <row r="13" spans="6:6" x14ac:dyDescent="0.2">
      <c r="F13" s="1" t="s">
        <v>27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392</v>
      </c>
      <c r="D28" s="1" t="s">
        <v>9</v>
      </c>
      <c r="E28" s="5">
        <v>14.491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97814.25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97814.25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5379.78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103194.03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28</v>
      </c>
    </row>
    <row r="47" spans="2:10" x14ac:dyDescent="0.2">
      <c r="B47" s="1" t="s">
        <v>29</v>
      </c>
      <c r="J47" s="10">
        <f>+J33</f>
        <v>103194.03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F4DD-F919-4B85-A6CF-4E4FA2DFC2CC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30</v>
      </c>
    </row>
    <row r="11" spans="6:6" x14ac:dyDescent="0.2">
      <c r="F11" s="1" t="s">
        <v>31</v>
      </c>
    </row>
    <row r="12" spans="6:6" x14ac:dyDescent="0.2">
      <c r="F12" s="1" t="s">
        <v>32</v>
      </c>
    </row>
    <row r="13" spans="6:6" x14ac:dyDescent="0.2">
      <c r="F13" s="1" t="s">
        <v>33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288</v>
      </c>
      <c r="D28" s="1" t="s">
        <v>9</v>
      </c>
      <c r="E28" s="5">
        <v>11.634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78529.5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78529.5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4319.12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82848.62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34</v>
      </c>
    </row>
    <row r="47" spans="2:10" x14ac:dyDescent="0.2">
      <c r="B47" s="1" t="s">
        <v>35</v>
      </c>
      <c r="J47" s="10">
        <f>+J33</f>
        <v>82848.62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A7A-BD75-4245-9C61-43D08BBAD45A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36</v>
      </c>
    </row>
    <row r="11" spans="6:6" x14ac:dyDescent="0.2">
      <c r="F11" s="1" t="s">
        <v>37</v>
      </c>
    </row>
    <row r="12" spans="6:6" x14ac:dyDescent="0.2">
      <c r="F12" s="1" t="s">
        <v>38</v>
      </c>
    </row>
    <row r="13" spans="6:6" x14ac:dyDescent="0.2">
      <c r="F13" s="1" t="s">
        <v>39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672</v>
      </c>
      <c r="D28" s="1" t="s">
        <v>9</v>
      </c>
      <c r="E28" s="5">
        <v>25.975999999999999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175338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175338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9643.59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184981.59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40</v>
      </c>
    </row>
    <row r="47" spans="2:10" x14ac:dyDescent="0.2">
      <c r="B47" s="1" t="s">
        <v>41</v>
      </c>
      <c r="J47" s="10">
        <f>+J33</f>
        <v>184981.59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B4597-BD17-4209-A821-65B41C2CC73E}">
  <dimension ref="A10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30</v>
      </c>
    </row>
    <row r="11" spans="6:6" x14ac:dyDescent="0.2">
      <c r="F11" s="1" t="s">
        <v>42</v>
      </c>
    </row>
    <row r="12" spans="6:6" x14ac:dyDescent="0.2">
      <c r="F12" s="1" t="s">
        <v>32</v>
      </c>
    </row>
    <row r="13" spans="6:6" x14ac:dyDescent="0.2">
      <c r="F13" s="1" t="s">
        <v>43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312</v>
      </c>
      <c r="D28" s="1" t="s">
        <v>9</v>
      </c>
      <c r="E28" s="5">
        <v>12.250999999999999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82694.25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82694.25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4548.18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87242.43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34</v>
      </c>
    </row>
    <row r="47" spans="2:10" x14ac:dyDescent="0.2">
      <c r="B47" s="1" t="s">
        <v>35</v>
      </c>
      <c r="J47" s="10">
        <f>+J33</f>
        <v>87242.43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24947-FC59-4FAD-A827-5DFEE78BE71A}">
  <dimension ref="A10:J47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0" spans="6:6" x14ac:dyDescent="0.2">
      <c r="F10" s="1" t="s">
        <v>44</v>
      </c>
    </row>
    <row r="11" spans="6:6" x14ac:dyDescent="0.2">
      <c r="F11" s="1" t="s">
        <v>45</v>
      </c>
    </row>
    <row r="12" spans="6:6" x14ac:dyDescent="0.2">
      <c r="F12" s="1" t="s">
        <v>46</v>
      </c>
    </row>
    <row r="13" spans="6:6" x14ac:dyDescent="0.2">
      <c r="F13" s="1" t="s">
        <v>47</v>
      </c>
    </row>
    <row r="18" spans="1:10" x14ac:dyDescent="0.2">
      <c r="A18" s="1" t="s">
        <v>4</v>
      </c>
    </row>
    <row r="23" spans="1:10" x14ac:dyDescent="0.2">
      <c r="B23" s="1" t="s">
        <v>5</v>
      </c>
    </row>
    <row r="25" spans="1:10" x14ac:dyDescent="0.2">
      <c r="B25" s="1" t="s">
        <v>6</v>
      </c>
    </row>
    <row r="26" spans="1:10" x14ac:dyDescent="0.2">
      <c r="B26" s="1" t="s">
        <v>7</v>
      </c>
    </row>
    <row r="28" spans="1:10" ht="15" x14ac:dyDescent="0.25">
      <c r="B28" s="2" t="s">
        <v>8</v>
      </c>
      <c r="C28" s="4">
        <v>531</v>
      </c>
      <c r="D28" s="1" t="s">
        <v>9</v>
      </c>
      <c r="E28" s="5">
        <v>21.297000000000001</v>
      </c>
      <c r="F28" s="6" t="s">
        <v>10</v>
      </c>
      <c r="G28" s="7" t="s">
        <v>11</v>
      </c>
      <c r="H28" s="8">
        <v>6750</v>
      </c>
      <c r="I28" s="9" t="s">
        <v>12</v>
      </c>
      <c r="J28" s="11">
        <f>ROUND(+E28*H28, 2)</f>
        <v>143754.75</v>
      </c>
    </row>
    <row r="29" spans="1:10" ht="4.1500000000000004" customHeight="1" x14ac:dyDescent="0.2"/>
    <row r="30" spans="1:10" x14ac:dyDescent="0.2">
      <c r="F30" s="1" t="s">
        <v>13</v>
      </c>
      <c r="J30" s="8">
        <f>+J28</f>
        <v>143754.75</v>
      </c>
    </row>
    <row r="31" spans="1:10" x14ac:dyDescent="0.2">
      <c r="F31" s="1" t="s">
        <v>14</v>
      </c>
      <c r="H31" s="2" t="s">
        <v>15</v>
      </c>
      <c r="I31" s="1" t="s">
        <v>16</v>
      </c>
      <c r="J31" s="12">
        <f>ROUND(+J30*H31/100, 2)</f>
        <v>7906.51</v>
      </c>
    </row>
    <row r="32" spans="1:10" ht="4.1500000000000004" customHeight="1" x14ac:dyDescent="0.2"/>
    <row r="33" spans="2:10" ht="15" x14ac:dyDescent="0.25">
      <c r="F33" s="3" t="s">
        <v>17</v>
      </c>
      <c r="J33" s="13">
        <f>SUM(J30:J31)</f>
        <v>151661.26</v>
      </c>
    </row>
    <row r="35" spans="2:10" x14ac:dyDescent="0.2">
      <c r="B35" s="1" t="s">
        <v>18</v>
      </c>
    </row>
    <row r="37" spans="2:10" x14ac:dyDescent="0.2">
      <c r="B37" s="1" t="s">
        <v>19</v>
      </c>
    </row>
    <row r="38" spans="2:10" x14ac:dyDescent="0.2">
      <c r="B38" s="1" t="s">
        <v>20</v>
      </c>
    </row>
    <row r="40" spans="2:10" ht="15" x14ac:dyDescent="0.25">
      <c r="H40" s="3" t="s">
        <v>21</v>
      </c>
    </row>
    <row r="46" spans="2:10" x14ac:dyDescent="0.2">
      <c r="B46" s="1" t="s">
        <v>48</v>
      </c>
    </row>
    <row r="47" spans="2:10" x14ac:dyDescent="0.2">
      <c r="B47" s="1" t="s">
        <v>49</v>
      </c>
      <c r="J47" s="10">
        <f>+J33</f>
        <v>151661.26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2024-07-26T08:44:13Z</dcterms:created>
  <dcterms:modified xsi:type="dcterms:W3CDTF">2024-07-26T08:44:18Z</dcterms:modified>
</cp:coreProperties>
</file>