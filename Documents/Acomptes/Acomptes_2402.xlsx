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pfProject\Gestcom\Documents\Acomptes\"/>
    </mc:Choice>
  </mc:AlternateContent>
  <xr:revisionPtr revIDLastSave="0" documentId="8_{48A188FB-52FC-48EC-8E4F-2C2D209BEA9D}" xr6:coauthVersionLast="47" xr6:coauthVersionMax="47" xr10:uidLastSave="{00000000-0000-0000-0000-000000000000}"/>
  <bookViews>
    <workbookView xWindow="4128" yWindow="3396" windowWidth="17280" windowHeight="8964" firstSheet="5" activeTab="6" xr2:uid="{DC044EF1-1069-451E-9A53-CBABFA9E5515}"/>
  </bookViews>
  <sheets>
    <sheet name="Feuil1" sheetId="1" r:id="rId1"/>
    <sheet name="SCAF GRANGE DE VAIVRE    " sheetId="2" r:id="rId2"/>
    <sheet name="SCAF BRESSE JURASSIENNE  " sheetId="3" r:id="rId3"/>
    <sheet name="ANDELOT" sheetId="4" r:id="rId4"/>
    <sheet name="SCAF LONGEVELLE-RUSSEY   " sheetId="5" r:id="rId5"/>
    <sheet name="GD COMBE CHATELEU        " sheetId="6" r:id="rId6"/>
    <sheet name="SCAF LAVANS VUILLAFANS  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7" l="1"/>
  <c r="J33" i="7"/>
  <c r="J31" i="7"/>
  <c r="J30" i="7"/>
  <c r="J28" i="7"/>
  <c r="J47" i="6"/>
  <c r="J33" i="6"/>
  <c r="J31" i="6"/>
  <c r="J30" i="6"/>
  <c r="J28" i="6"/>
  <c r="J51" i="5"/>
  <c r="J37" i="5"/>
  <c r="J33" i="5"/>
  <c r="J31" i="5"/>
  <c r="J30" i="5"/>
  <c r="J28" i="5"/>
  <c r="J47" i="4"/>
  <c r="J33" i="4"/>
  <c r="J31" i="4"/>
  <c r="J30" i="4"/>
  <c r="J28" i="4"/>
  <c r="J47" i="3"/>
  <c r="J33" i="3"/>
  <c r="J31" i="3"/>
  <c r="J30" i="3"/>
  <c r="J28" i="3"/>
  <c r="J47" i="2"/>
  <c r="J33" i="2"/>
  <c r="J31" i="2"/>
  <c r="J30" i="2"/>
  <c r="J28" i="2"/>
</calcChain>
</file>

<file path=xl/sharedStrings.xml><?xml version="1.0" encoding="utf-8"?>
<sst xmlns="http://schemas.openxmlformats.org/spreadsheetml/2006/main" count="152" uniqueCount="53">
  <si>
    <t>SCAF DE LA FRUITIERE DU VAL DE LOUE</t>
  </si>
  <si>
    <t>Mr Frédéric PONCET</t>
  </si>
  <si>
    <t xml:space="preserve">                         </t>
  </si>
  <si>
    <t xml:space="preserve">39600 GRANGE DE VAIVRE         </t>
  </si>
  <si>
    <t>Le 01 avril 2024</t>
  </si>
  <si>
    <t xml:space="preserve">      TB/PB</t>
  </si>
  <si>
    <t>Monsieur le Président</t>
  </si>
  <si>
    <t xml:space="preserve">          Nous vous prions de bien vouloir trouver ci-dessous, le détail</t>
  </si>
  <si>
    <t>du premier acompte sur votre lot de fabrication FÉVRIER 2024</t>
  </si>
  <si>
    <t>-</t>
  </si>
  <si>
    <t>pains</t>
  </si>
  <si>
    <t>T</t>
  </si>
  <si>
    <t>x</t>
  </si>
  <si>
    <t xml:space="preserve"> =</t>
  </si>
  <si>
    <t>Total HT</t>
  </si>
  <si>
    <t>T.V.A</t>
  </si>
  <si>
    <t>5,5</t>
  </si>
  <si>
    <t>%</t>
  </si>
  <si>
    <t>Total Réglé</t>
  </si>
  <si>
    <t xml:space="preserve">          Vous en souhaitant bonne réception</t>
  </si>
  <si>
    <t xml:space="preserve">          Nous vous prions d'agréer, Monsieur le Président, nos</t>
  </si>
  <si>
    <t>salutations distinguées</t>
  </si>
  <si>
    <t>Service Comptabilité</t>
  </si>
  <si>
    <t>PS : Nous virons ce jour, sur votre compte N° 12506 39029 50546581010 11</t>
  </si>
  <si>
    <t>CAFC SALINS LES BAINS   , la somme de</t>
  </si>
  <si>
    <t>SCAF BRESSE JURASSIENNE</t>
  </si>
  <si>
    <t>Mr Benoit COTE</t>
  </si>
  <si>
    <t>3 Pace de la Mairie</t>
  </si>
  <si>
    <t xml:space="preserve">39140  DESNES                  </t>
  </si>
  <si>
    <t>PS : Nous virons ce jour, sur votre compte N° 12506 39023 40357496000 54</t>
  </si>
  <si>
    <t>CAFC POLIGNY            , la somme de</t>
  </si>
  <si>
    <t>COOPERATIVE DES MONTS DE JOUX</t>
  </si>
  <si>
    <t>ATELIER ANDELOT</t>
  </si>
  <si>
    <t>36 Rue Laurent Troutet</t>
  </si>
  <si>
    <t>25560  BANANS</t>
  </si>
  <si>
    <t xml:space="preserve">PS : Nous virons ce jour, sur votre compte N° 0 0               </t>
  </si>
  <si>
    <t xml:space="preserve">                        , la somme de</t>
  </si>
  <si>
    <t>SCAF DE LONGEVELLE</t>
  </si>
  <si>
    <t>Mr Johann DEVAUX</t>
  </si>
  <si>
    <t xml:space="preserve">2, rue du Conot          </t>
  </si>
  <si>
    <t xml:space="preserve">25380  CHARMOILLE              </t>
  </si>
  <si>
    <t>A déduire N/Facture n° 113073 du 10/03/24</t>
  </si>
  <si>
    <t>A déduire N/Facture n° 113178 du 31/03/24</t>
  </si>
  <si>
    <t>PS : Nous virons ce jour, sur votre compte N° 12506 20017 11707951010 37</t>
  </si>
  <si>
    <t>CAFC SANCEY LE GRAND    , la somme de</t>
  </si>
  <si>
    <t>Atelier Gd Combe Chateleu</t>
  </si>
  <si>
    <t xml:space="preserve">25560 BANNANS                  </t>
  </si>
  <si>
    <t>SCAF DE LAVANS VUILLAFANS</t>
  </si>
  <si>
    <t>Mr Joany LEPINE</t>
  </si>
  <si>
    <t>6 Chemin des Clos Ronds</t>
  </si>
  <si>
    <t xml:space="preserve">25380  LAVANS VUILLAFANS       </t>
  </si>
  <si>
    <t>PS : Nous virons ce jour, sur votre compte N° 10807 6 22321737995 58</t>
  </si>
  <si>
    <t>BNP ORNANS              , la somme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</si>
</sst>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0"/>
    <numFmt numFmtId="165" formatCode="#\ 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1" fillId="0" borderId="0" xfId="0" applyNumberFormat="1" applyFont="1"/>
    <xf numFmtId="165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165" fontId="2" fillId="0" borderId="0" xfId="0" applyNumberFormat="1" applyFont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45DB-FD3E-4697-9306-64FBA1DC2D3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2378-C8FF-4918-99D9-9FAEDAE1CD5C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0</v>
      </c>
    </row>
    <row r="11" spans="6:6" x14ac:dyDescent="0.25">
      <c r="F11" s="1" t="s">
        <v>1</v>
      </c>
    </row>
    <row r="12" spans="6:6" x14ac:dyDescent="0.25">
      <c r="F12" s="1" t="s">
        <v>2</v>
      </c>
    </row>
    <row r="13" spans="6:6" x14ac:dyDescent="0.25">
      <c r="F13" s="1" t="s">
        <v>3</v>
      </c>
    </row>
    <row r="18" spans="1:10" x14ac:dyDescent="0.25">
      <c r="A18" s="1" t="s">
        <v>5</v>
      </c>
      <c r="G18" s="1" t="s">
        <v>4</v>
      </c>
    </row>
    <row r="23" spans="1:10" x14ac:dyDescent="0.25">
      <c r="B23" s="1" t="s">
        <v>6</v>
      </c>
    </row>
    <row r="25" spans="1:10" x14ac:dyDescent="0.25">
      <c r="B25" s="1" t="s">
        <v>7</v>
      </c>
    </row>
    <row r="26" spans="1:10" x14ac:dyDescent="0.25">
      <c r="B26" s="1" t="s">
        <v>8</v>
      </c>
    </row>
    <row r="28" spans="1:10" x14ac:dyDescent="0.25">
      <c r="B28" s="2" t="s">
        <v>9</v>
      </c>
      <c r="C28" s="4">
        <v>195</v>
      </c>
      <c r="D28" s="1" t="s">
        <v>10</v>
      </c>
      <c r="E28" s="5">
        <v>6.9880000000000004</v>
      </c>
      <c r="F28" s="6" t="s">
        <v>11</v>
      </c>
      <c r="G28" s="7" t="s">
        <v>12</v>
      </c>
      <c r="H28" s="8">
        <v>6600</v>
      </c>
      <c r="I28" s="9" t="s">
        <v>13</v>
      </c>
      <c r="J28" s="11">
        <f>ROUND(+E28*H28, 2)</f>
        <v>46120.800000000003</v>
      </c>
    </row>
    <row r="29" spans="1:10" ht="4.2" customHeight="1" x14ac:dyDescent="0.25"/>
    <row r="30" spans="1:10" x14ac:dyDescent="0.25">
      <c r="F30" s="1" t="s">
        <v>14</v>
      </c>
      <c r="J30" s="8">
        <f>+J28</f>
        <v>46120.800000000003</v>
      </c>
    </row>
    <row r="31" spans="1:10" x14ac:dyDescent="0.25">
      <c r="F31" s="1" t="s">
        <v>15</v>
      </c>
      <c r="H31" s="2" t="s">
        <v>16</v>
      </c>
      <c r="I31" s="1" t="s">
        <v>17</v>
      </c>
      <c r="J31" s="12">
        <f>ROUND(+J30*H31/100, 2)</f>
        <v>2536.64</v>
      </c>
    </row>
    <row r="32" spans="1:10" ht="4.2" customHeight="1" x14ac:dyDescent="0.25"/>
    <row r="33" spans="2:10" x14ac:dyDescent="0.25">
      <c r="F33" s="3" t="s">
        <v>18</v>
      </c>
      <c r="J33" s="13">
        <f>SUM(J30:J31)</f>
        <v>48657.440000000002</v>
      </c>
    </row>
    <row r="35" spans="2:10" x14ac:dyDescent="0.25">
      <c r="B35" s="1" t="s">
        <v>19</v>
      </c>
    </row>
    <row r="37" spans="2:10" x14ac:dyDescent="0.25">
      <c r="B37" s="1" t="s">
        <v>20</v>
      </c>
    </row>
    <row r="38" spans="2:10" x14ac:dyDescent="0.25">
      <c r="B38" s="1" t="s">
        <v>21</v>
      </c>
    </row>
    <row r="40" spans="2:10" x14ac:dyDescent="0.25">
      <c r="H40" s="3" t="s">
        <v>22</v>
      </c>
    </row>
    <row r="46" spans="2:10" x14ac:dyDescent="0.25">
      <c r="B46" s="1" t="s">
        <v>23</v>
      </c>
    </row>
    <row r="47" spans="2:10" x14ac:dyDescent="0.25">
      <c r="B47" s="1" t="s">
        <v>24</v>
      </c>
      <c r="J47" s="10">
        <f>+J33</f>
        <v>48657.440000000002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F1CF-19B3-4326-BCE5-9BDD2C1919F5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25</v>
      </c>
    </row>
    <row r="11" spans="6:6" x14ac:dyDescent="0.25">
      <c r="F11" s="1" t="s">
        <v>26</v>
      </c>
    </row>
    <row r="12" spans="6:6" x14ac:dyDescent="0.25">
      <c r="F12" s="1" t="s">
        <v>27</v>
      </c>
    </row>
    <row r="13" spans="6:6" x14ac:dyDescent="0.25">
      <c r="F13" s="1" t="s">
        <v>28</v>
      </c>
    </row>
    <row r="18" spans="1:10" x14ac:dyDescent="0.25">
      <c r="A18" s="1" t="s">
        <v>5</v>
      </c>
      <c r="G18" s="1" t="s">
        <v>4</v>
      </c>
    </row>
    <row r="23" spans="1:10" x14ac:dyDescent="0.25">
      <c r="B23" s="1" t="s">
        <v>6</v>
      </c>
    </row>
    <row r="25" spans="1:10" x14ac:dyDescent="0.25">
      <c r="B25" s="1" t="s">
        <v>7</v>
      </c>
    </row>
    <row r="26" spans="1:10" x14ac:dyDescent="0.25">
      <c r="B26" s="1" t="s">
        <v>8</v>
      </c>
    </row>
    <row r="28" spans="1:10" x14ac:dyDescent="0.25">
      <c r="B28" s="2" t="s">
        <v>9</v>
      </c>
      <c r="C28" s="4">
        <v>344</v>
      </c>
      <c r="D28" s="1" t="s">
        <v>10</v>
      </c>
      <c r="E28" s="5">
        <v>13.378</v>
      </c>
      <c r="F28" s="6" t="s">
        <v>11</v>
      </c>
      <c r="G28" s="7" t="s">
        <v>12</v>
      </c>
      <c r="H28" s="8">
        <v>6600</v>
      </c>
      <c r="I28" s="9" t="s">
        <v>13</v>
      </c>
      <c r="J28" s="11">
        <f>ROUND(+E28*H28, 2)</f>
        <v>88294.8</v>
      </c>
    </row>
    <row r="29" spans="1:10" ht="4.2" customHeight="1" x14ac:dyDescent="0.25"/>
    <row r="30" spans="1:10" x14ac:dyDescent="0.25">
      <c r="F30" s="1" t="s">
        <v>14</v>
      </c>
      <c r="J30" s="8">
        <f>+J28</f>
        <v>88294.8</v>
      </c>
    </row>
    <row r="31" spans="1:10" x14ac:dyDescent="0.25">
      <c r="F31" s="1" t="s">
        <v>15</v>
      </c>
      <c r="H31" s="2" t="s">
        <v>16</v>
      </c>
      <c r="I31" s="1" t="s">
        <v>17</v>
      </c>
      <c r="J31" s="12">
        <f>ROUND(+J30*H31/100, 2)</f>
        <v>4856.21</v>
      </c>
    </row>
    <row r="32" spans="1:10" ht="4.2" customHeight="1" x14ac:dyDescent="0.25"/>
    <row r="33" spans="2:10" x14ac:dyDescent="0.25">
      <c r="F33" s="3" t="s">
        <v>18</v>
      </c>
      <c r="J33" s="13">
        <f>SUM(J30:J31)</f>
        <v>93151.010000000009</v>
      </c>
    </row>
    <row r="35" spans="2:10" x14ac:dyDescent="0.25">
      <c r="B35" s="1" t="s">
        <v>19</v>
      </c>
    </row>
    <row r="37" spans="2:10" x14ac:dyDescent="0.25">
      <c r="B37" s="1" t="s">
        <v>20</v>
      </c>
    </row>
    <row r="38" spans="2:10" x14ac:dyDescent="0.25">
      <c r="B38" s="1" t="s">
        <v>21</v>
      </c>
    </row>
    <row r="40" spans="2:10" x14ac:dyDescent="0.25">
      <c r="H40" s="3" t="s">
        <v>22</v>
      </c>
    </row>
    <row r="46" spans="2:10" x14ac:dyDescent="0.25">
      <c r="B46" s="1" t="s">
        <v>29</v>
      </c>
    </row>
    <row r="47" spans="2:10" x14ac:dyDescent="0.25">
      <c r="B47" s="1" t="s">
        <v>30</v>
      </c>
      <c r="J47" s="10">
        <f>+J33</f>
        <v>93151.010000000009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5265-0D31-47A3-A29D-A4B31739B363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31</v>
      </c>
    </row>
    <row r="11" spans="6:6" x14ac:dyDescent="0.25">
      <c r="F11" s="1" t="s">
        <v>32</v>
      </c>
    </row>
    <row r="12" spans="6:6" x14ac:dyDescent="0.25">
      <c r="F12" s="1" t="s">
        <v>33</v>
      </c>
    </row>
    <row r="13" spans="6:6" x14ac:dyDescent="0.25">
      <c r="F13" s="1" t="s">
        <v>34</v>
      </c>
    </row>
    <row r="18" spans="1:10" x14ac:dyDescent="0.25">
      <c r="A18" s="1" t="s">
        <v>5</v>
      </c>
      <c r="G18" s="1" t="s">
        <v>4</v>
      </c>
    </row>
    <row r="23" spans="1:10" x14ac:dyDescent="0.25">
      <c r="B23" s="1" t="s">
        <v>6</v>
      </c>
    </row>
    <row r="25" spans="1:10" x14ac:dyDescent="0.25">
      <c r="B25" s="1" t="s">
        <v>7</v>
      </c>
    </row>
    <row r="26" spans="1:10" x14ac:dyDescent="0.25">
      <c r="B26" s="1" t="s">
        <v>8</v>
      </c>
    </row>
    <row r="28" spans="1:10" x14ac:dyDescent="0.25">
      <c r="B28" s="2" t="s">
        <v>9</v>
      </c>
      <c r="C28" s="4">
        <v>660</v>
      </c>
      <c r="D28" s="1" t="s">
        <v>10</v>
      </c>
      <c r="E28" s="5">
        <v>26.693000000000001</v>
      </c>
      <c r="F28" s="6" t="s">
        <v>11</v>
      </c>
      <c r="G28" s="7" t="s">
        <v>12</v>
      </c>
      <c r="H28" s="8">
        <v>6600</v>
      </c>
      <c r="I28" s="9" t="s">
        <v>13</v>
      </c>
      <c r="J28" s="11">
        <f>ROUND(+E28*H28, 2)</f>
        <v>176173.8</v>
      </c>
    </row>
    <row r="29" spans="1:10" ht="4.2" customHeight="1" x14ac:dyDescent="0.25"/>
    <row r="30" spans="1:10" x14ac:dyDescent="0.25">
      <c r="F30" s="1" t="s">
        <v>14</v>
      </c>
      <c r="J30" s="8">
        <f>+J28</f>
        <v>176173.8</v>
      </c>
    </row>
    <row r="31" spans="1:10" x14ac:dyDescent="0.25">
      <c r="F31" s="1" t="s">
        <v>15</v>
      </c>
      <c r="H31" s="2" t="s">
        <v>16</v>
      </c>
      <c r="I31" s="1" t="s">
        <v>17</v>
      </c>
      <c r="J31" s="12">
        <f>ROUND(+J30*H31/100, 2)</f>
        <v>9689.56</v>
      </c>
    </row>
    <row r="32" spans="1:10" ht="4.2" customHeight="1" x14ac:dyDescent="0.25"/>
    <row r="33" spans="2:10" x14ac:dyDescent="0.25">
      <c r="F33" s="3" t="s">
        <v>18</v>
      </c>
      <c r="J33" s="13">
        <f>SUM(J30:J31)</f>
        <v>185863.36</v>
      </c>
    </row>
    <row r="35" spans="2:10" x14ac:dyDescent="0.25">
      <c r="B35" s="1" t="s">
        <v>19</v>
      </c>
    </row>
    <row r="37" spans="2:10" x14ac:dyDescent="0.25">
      <c r="B37" s="1" t="s">
        <v>20</v>
      </c>
    </row>
    <row r="38" spans="2:10" x14ac:dyDescent="0.25">
      <c r="B38" s="1" t="s">
        <v>21</v>
      </c>
    </row>
    <row r="40" spans="2:10" x14ac:dyDescent="0.25">
      <c r="H40" s="3" t="s">
        <v>22</v>
      </c>
    </row>
    <row r="46" spans="2:10" x14ac:dyDescent="0.25">
      <c r="B46" s="1" t="s">
        <v>35</v>
      </c>
    </row>
    <row r="47" spans="2:10" x14ac:dyDescent="0.25">
      <c r="B47" s="1" t="s">
        <v>36</v>
      </c>
      <c r="J47" s="10">
        <f>+J33</f>
        <v>185863.36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5F72-184B-4D0F-905F-42C71977301C}">
  <dimension ref="A10:J51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37</v>
      </c>
    </row>
    <row r="11" spans="6:6" x14ac:dyDescent="0.25">
      <c r="F11" s="1" t="s">
        <v>38</v>
      </c>
    </row>
    <row r="12" spans="6:6" x14ac:dyDescent="0.25">
      <c r="F12" s="1" t="s">
        <v>39</v>
      </c>
    </row>
    <row r="13" spans="6:6" x14ac:dyDescent="0.25">
      <c r="F13" s="1" t="s">
        <v>40</v>
      </c>
    </row>
    <row r="18" spans="1:10" x14ac:dyDescent="0.25">
      <c r="A18" s="1" t="s">
        <v>5</v>
      </c>
      <c r="G18" s="1" t="s">
        <v>4</v>
      </c>
    </row>
    <row r="23" spans="1:10" x14ac:dyDescent="0.25">
      <c r="B23" s="1" t="s">
        <v>6</v>
      </c>
    </row>
    <row r="25" spans="1:10" x14ac:dyDescent="0.25">
      <c r="B25" s="1" t="s">
        <v>7</v>
      </c>
    </row>
    <row r="26" spans="1:10" x14ac:dyDescent="0.25">
      <c r="B26" s="1" t="s">
        <v>8</v>
      </c>
    </row>
    <row r="28" spans="1:10" x14ac:dyDescent="0.25">
      <c r="B28" s="2" t="s">
        <v>9</v>
      </c>
      <c r="C28" s="4">
        <v>532</v>
      </c>
      <c r="D28" s="1" t="s">
        <v>10</v>
      </c>
      <c r="E28" s="5">
        <v>20.593</v>
      </c>
      <c r="F28" s="6" t="s">
        <v>11</v>
      </c>
      <c r="G28" s="7" t="s">
        <v>12</v>
      </c>
      <c r="H28" s="8">
        <v>6600</v>
      </c>
      <c r="I28" s="9" t="s">
        <v>13</v>
      </c>
      <c r="J28" s="11">
        <f>ROUND(+E28*H28, 2)</f>
        <v>135913.79999999999</v>
      </c>
    </row>
    <row r="29" spans="1:10" ht="4.2" customHeight="1" x14ac:dyDescent="0.25"/>
    <row r="30" spans="1:10" x14ac:dyDescent="0.25">
      <c r="F30" s="1" t="s">
        <v>14</v>
      </c>
      <c r="J30" s="8">
        <f>+J28</f>
        <v>135913.79999999999</v>
      </c>
    </row>
    <row r="31" spans="1:10" x14ac:dyDescent="0.25">
      <c r="F31" s="1" t="s">
        <v>15</v>
      </c>
      <c r="H31" s="2" t="s">
        <v>16</v>
      </c>
      <c r="I31" s="1" t="s">
        <v>17</v>
      </c>
      <c r="J31" s="12">
        <f>ROUND(+J30*H31/100, 2)</f>
        <v>7475.26</v>
      </c>
    </row>
    <row r="32" spans="1:10" ht="4.2" customHeight="1" x14ac:dyDescent="0.25"/>
    <row r="33" spans="2:10" x14ac:dyDescent="0.25">
      <c r="J33" s="10">
        <f>SUM(J30:J31)</f>
        <v>143389.06</v>
      </c>
    </row>
    <row r="34" spans="2:10" x14ac:dyDescent="0.25">
      <c r="B34" s="1" t="s">
        <v>41</v>
      </c>
      <c r="J34" s="10">
        <v>-1407.13</v>
      </c>
    </row>
    <row r="35" spans="2:10" x14ac:dyDescent="0.25">
      <c r="B35" s="1" t="s">
        <v>42</v>
      </c>
      <c r="J35" s="10">
        <v>-1760.73</v>
      </c>
    </row>
    <row r="37" spans="2:10" x14ac:dyDescent="0.25">
      <c r="F37" s="3" t="s">
        <v>18</v>
      </c>
      <c r="J37" s="14">
        <f>SUM(J33:J35)</f>
        <v>140221.19999999998</v>
      </c>
    </row>
    <row r="39" spans="2:10" x14ac:dyDescent="0.25">
      <c r="B39" s="1" t="s">
        <v>19</v>
      </c>
    </row>
    <row r="41" spans="2:10" x14ac:dyDescent="0.25">
      <c r="B41" s="1" t="s">
        <v>20</v>
      </c>
    </row>
    <row r="42" spans="2:10" x14ac:dyDescent="0.25">
      <c r="B42" s="1" t="s">
        <v>21</v>
      </c>
    </row>
    <row r="44" spans="2:10" x14ac:dyDescent="0.25">
      <c r="H44" s="3" t="s">
        <v>22</v>
      </c>
    </row>
    <row r="50" spans="2:10" x14ac:dyDescent="0.25">
      <c r="B50" s="1" t="s">
        <v>43</v>
      </c>
    </row>
    <row r="51" spans="2:10" x14ac:dyDescent="0.25">
      <c r="B51" s="1" t="s">
        <v>44</v>
      </c>
      <c r="J51" s="10">
        <f>+J37</f>
        <v>140221.19999999998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93D6-D7B2-4B7C-B279-D4844834D5B6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31</v>
      </c>
    </row>
    <row r="11" spans="6:6" x14ac:dyDescent="0.25">
      <c r="F11" s="1" t="s">
        <v>45</v>
      </c>
    </row>
    <row r="12" spans="6:6" x14ac:dyDescent="0.25">
      <c r="F12" s="1" t="s">
        <v>33</v>
      </c>
    </row>
    <row r="13" spans="6:6" x14ac:dyDescent="0.25">
      <c r="F13" s="1" t="s">
        <v>46</v>
      </c>
    </row>
    <row r="18" spans="1:10" x14ac:dyDescent="0.25">
      <c r="A18" s="1" t="s">
        <v>5</v>
      </c>
      <c r="G18" s="1" t="s">
        <v>4</v>
      </c>
    </row>
    <row r="23" spans="1:10" x14ac:dyDescent="0.25">
      <c r="B23" s="1" t="s">
        <v>6</v>
      </c>
    </row>
    <row r="25" spans="1:10" x14ac:dyDescent="0.25">
      <c r="B25" s="1" t="s">
        <v>7</v>
      </c>
    </row>
    <row r="26" spans="1:10" x14ac:dyDescent="0.25">
      <c r="B26" s="1" t="s">
        <v>8</v>
      </c>
    </row>
    <row r="28" spans="1:10" x14ac:dyDescent="0.25">
      <c r="B28" s="2" t="s">
        <v>9</v>
      </c>
      <c r="C28" s="4">
        <v>240</v>
      </c>
      <c r="D28" s="1" t="s">
        <v>10</v>
      </c>
      <c r="E28" s="5">
        <v>9.2100000000000009</v>
      </c>
      <c r="F28" s="6" t="s">
        <v>11</v>
      </c>
      <c r="G28" s="7" t="s">
        <v>12</v>
      </c>
      <c r="H28" s="8">
        <v>6600</v>
      </c>
      <c r="I28" s="9" t="s">
        <v>13</v>
      </c>
      <c r="J28" s="11">
        <f>ROUND(+E28*H28, 2)</f>
        <v>60786</v>
      </c>
    </row>
    <row r="29" spans="1:10" ht="4.2" customHeight="1" x14ac:dyDescent="0.25"/>
    <row r="30" spans="1:10" x14ac:dyDescent="0.25">
      <c r="F30" s="1" t="s">
        <v>14</v>
      </c>
      <c r="J30" s="8">
        <f>+J28</f>
        <v>60786</v>
      </c>
    </row>
    <row r="31" spans="1:10" x14ac:dyDescent="0.25">
      <c r="F31" s="1" t="s">
        <v>15</v>
      </c>
      <c r="H31" s="2" t="s">
        <v>16</v>
      </c>
      <c r="I31" s="1" t="s">
        <v>17</v>
      </c>
      <c r="J31" s="12">
        <f>ROUND(+J30*H31/100, 2)</f>
        <v>3343.23</v>
      </c>
    </row>
    <row r="32" spans="1:10" ht="4.2" customHeight="1" x14ac:dyDescent="0.25"/>
    <row r="33" spans="2:10" x14ac:dyDescent="0.25">
      <c r="F33" s="3" t="s">
        <v>18</v>
      </c>
      <c r="J33" s="13">
        <f>SUM(J30:J31)</f>
        <v>64129.23</v>
      </c>
    </row>
    <row r="35" spans="2:10" x14ac:dyDescent="0.25">
      <c r="B35" s="1" t="s">
        <v>19</v>
      </c>
    </row>
    <row r="37" spans="2:10" x14ac:dyDescent="0.25">
      <c r="B37" s="1" t="s">
        <v>20</v>
      </c>
    </row>
    <row r="38" spans="2:10" x14ac:dyDescent="0.25">
      <c r="B38" s="1" t="s">
        <v>21</v>
      </c>
    </row>
    <row r="40" spans="2:10" x14ac:dyDescent="0.25">
      <c r="H40" s="3" t="s">
        <v>22</v>
      </c>
    </row>
    <row r="46" spans="2:10" x14ac:dyDescent="0.25">
      <c r="B46" s="1" t="s">
        <v>35</v>
      </c>
    </row>
    <row r="47" spans="2:10" x14ac:dyDescent="0.25">
      <c r="B47" s="1" t="s">
        <v>36</v>
      </c>
      <c r="J47" s="10">
        <f>+J33</f>
        <v>64129.23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4974-D2F3-4E1D-A43C-4C2AD87F95D6}">
  <dimension ref="A10:J47"/>
  <sheetViews>
    <sheetView tabSelected="1"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47</v>
      </c>
    </row>
    <row r="11" spans="6:6" x14ac:dyDescent="0.25">
      <c r="F11" s="1" t="s">
        <v>48</v>
      </c>
    </row>
    <row r="12" spans="6:6" x14ac:dyDescent="0.25">
      <c r="F12" s="1" t="s">
        <v>49</v>
      </c>
    </row>
    <row r="13" spans="6:6" x14ac:dyDescent="0.25">
      <c r="F13" s="1" t="s">
        <v>50</v>
      </c>
    </row>
    <row r="18" spans="1:10" x14ac:dyDescent="0.25">
      <c r="A18" s="1" t="s">
        <v>5</v>
      </c>
      <c r="G18" s="1" t="s">
        <v>4</v>
      </c>
    </row>
    <row r="23" spans="1:10" x14ac:dyDescent="0.25">
      <c r="B23" s="1" t="s">
        <v>6</v>
      </c>
    </row>
    <row r="25" spans="1:10" x14ac:dyDescent="0.25">
      <c r="B25" s="1" t="s">
        <v>7</v>
      </c>
    </row>
    <row r="26" spans="1:10" x14ac:dyDescent="0.25">
      <c r="B26" s="1" t="s">
        <v>8</v>
      </c>
    </row>
    <row r="28" spans="1:10" x14ac:dyDescent="0.25">
      <c r="B28" s="2" t="s">
        <v>9</v>
      </c>
      <c r="C28" s="4">
        <v>409</v>
      </c>
      <c r="D28" s="1" t="s">
        <v>10</v>
      </c>
      <c r="E28" s="5">
        <v>16.579999999999998</v>
      </c>
      <c r="F28" s="6" t="s">
        <v>11</v>
      </c>
      <c r="G28" s="7" t="s">
        <v>12</v>
      </c>
      <c r="H28" s="8">
        <v>6600</v>
      </c>
      <c r="I28" s="9" t="s">
        <v>13</v>
      </c>
      <c r="J28" s="11">
        <f>ROUND(+E28*H28, 2)</f>
        <v>109428</v>
      </c>
    </row>
    <row r="29" spans="1:10" ht="4.2" customHeight="1" x14ac:dyDescent="0.25"/>
    <row r="30" spans="1:10" x14ac:dyDescent="0.25">
      <c r="F30" s="1" t="s">
        <v>14</v>
      </c>
      <c r="J30" s="8">
        <f>+J28</f>
        <v>109428</v>
      </c>
    </row>
    <row r="31" spans="1:10" x14ac:dyDescent="0.25">
      <c r="F31" s="1" t="s">
        <v>15</v>
      </c>
      <c r="H31" s="2" t="s">
        <v>16</v>
      </c>
      <c r="I31" s="1" t="s">
        <v>17</v>
      </c>
      <c r="J31" s="12">
        <f>ROUND(+J30*H31/100, 2)</f>
        <v>6018.54</v>
      </c>
    </row>
    <row r="32" spans="1:10" ht="4.2" customHeight="1" x14ac:dyDescent="0.25"/>
    <row r="33" spans="2:10" x14ac:dyDescent="0.25">
      <c r="F33" s="3" t="s">
        <v>18</v>
      </c>
      <c r="J33" s="13">
        <f>SUM(J30:J31)</f>
        <v>115446.54</v>
      </c>
    </row>
    <row r="35" spans="2:10" x14ac:dyDescent="0.25">
      <c r="B35" s="1" t="s">
        <v>19</v>
      </c>
    </row>
    <row r="37" spans="2:10" x14ac:dyDescent="0.25">
      <c r="B37" s="1" t="s">
        <v>20</v>
      </c>
    </row>
    <row r="38" spans="2:10" x14ac:dyDescent="0.25">
      <c r="B38" s="1" t="s">
        <v>21</v>
      </c>
    </row>
    <row r="40" spans="2:10" x14ac:dyDescent="0.25">
      <c r="H40" s="3" t="s">
        <v>22</v>
      </c>
    </row>
    <row r="46" spans="2:10" x14ac:dyDescent="0.25">
      <c r="B46" s="1" t="s">
        <v>51</v>
      </c>
    </row>
    <row r="47" spans="2:10" x14ac:dyDescent="0.25">
      <c r="B47" s="1" t="s">
        <v>52</v>
      </c>
      <c r="J47" s="10">
        <f>+J33</f>
        <v>115446.54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SCAF GRANGE DE VAIVRE    </vt:lpstr>
      <vt:lpstr>SCAF BRESSE JURASSIENNE  </vt:lpstr>
      <vt:lpstr>ANDELOT</vt:lpstr>
      <vt:lpstr>SCAF LONGEVELLE-RUSSEY   </vt:lpstr>
      <vt:lpstr>GD COMBE CHATELEU        </vt:lpstr>
      <vt:lpstr>SCAF LAVANS VUILLAFANS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2024-07-30T08:48:31Z</dcterms:created>
  <dcterms:modified xsi:type="dcterms:W3CDTF">2024-07-30T08:48:38Z</dcterms:modified>
</cp:coreProperties>
</file>