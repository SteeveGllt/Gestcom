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Acomptes\"/>
    </mc:Choice>
  </mc:AlternateContent>
  <xr:revisionPtr revIDLastSave="0" documentId="8_{D7AB8EAF-1C39-49F3-8C79-3F5A39661298}" xr6:coauthVersionLast="47" xr6:coauthVersionMax="47" xr10:uidLastSave="{00000000-0000-0000-0000-000000000000}"/>
  <bookViews>
    <workbookView xWindow="5520" yWindow="3396" windowWidth="17280" windowHeight="8964" firstSheet="5" activeTab="6" xr2:uid="{F681D70B-D63C-4F69-99F8-D228EDF00AC5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7" l="1"/>
  <c r="J33" i="7"/>
  <c r="J31" i="7"/>
  <c r="J30" i="7"/>
  <c r="J28" i="7"/>
  <c r="J47" i="6"/>
  <c r="J33" i="6"/>
  <c r="J31" i="6"/>
  <c r="J30" i="6"/>
  <c r="J28" i="6"/>
  <c r="J50" i="5"/>
  <c r="J36" i="5"/>
  <c r="J33" i="5"/>
  <c r="J31" i="5"/>
  <c r="J30" i="5"/>
  <c r="J28" i="5"/>
  <c r="J47" i="4"/>
  <c r="J33" i="4"/>
  <c r="J31" i="4"/>
  <c r="J30" i="4"/>
  <c r="J28" i="4"/>
  <c r="J47" i="3"/>
  <c r="J33" i="3"/>
  <c r="J31" i="3"/>
  <c r="J30" i="3"/>
  <c r="J28" i="3"/>
  <c r="J47" i="2"/>
  <c r="J33" i="2"/>
  <c r="J31" i="2"/>
  <c r="J30" i="2"/>
  <c r="J28" i="2"/>
</calcChain>
</file>

<file path=xl/sharedStrings.xml><?xml version="1.0" encoding="utf-8"?>
<sst xmlns="http://schemas.openxmlformats.org/spreadsheetml/2006/main" count="145" uniqueCount="51">
  <si>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</si>
  <si>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</si>
  <si>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</si>
  <si>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</si>
  <si>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</si>
  <si>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Monsieur le Président</t>
  </si>
  <si>
    <t xml:space="preserve">          Nous vous prions de bien vouloir trouver ci-dessous, le détail</t>
  </si>
  <si>
    <t>du premier acompte sur votre lot de fabrication MARS 2024</t>
  </si>
  <si>
    <t>-</t>
  </si>
  <si>
    <t>pains</t>
  </si>
  <si>
    <t>T</t>
  </si>
  <si>
    <t>x</t>
  </si>
  <si>
    <t xml:space="preserve"> =</t>
  </si>
  <si>
    <t>Total HT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</si>
  <si>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</si>
  <si>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</si>
  <si>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</si>
  <si>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</si>
  <si>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</si>
  <si>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</si>
  <si>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</si>
  <si>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</si>
  <si>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11</t>
  </si>
  <si>
    <t>CAFC SALINS LES BAINS   , la somme de</t>
  </si>
  <si>
    <t>SCAF BRESSE JURASSIENNE</t>
  </si>
  <si>
    <t>Mr Benoit COTE</t>
  </si>
  <si>
    <t>3 Pace de la Mairie</t>
  </si>
  <si>
    <t xml:space="preserve">39140  DESNES                  </t>
  </si>
  <si>
    <t>PS : Nous virons ce jour, sur votre compte N° 12506 39023 40357496000 54</t>
  </si>
  <si>
    <t>CAFC POLIGNY            , la somme de</t>
  </si>
  <si>
    <t>COOPERATIVE DES MONTS DE JOUX</t>
  </si>
  <si>
    <t>ATELIER ANDELOT</t>
  </si>
  <si>
    <t>36 Rue Laurent Troutet</t>
  </si>
  <si>
    <t>25560  BANANS</t>
  </si>
  <si>
    <t xml:space="preserve">PS : Nous virons ce jour, sur votre compte N° 0 0               </t>
  </si>
  <si>
    <t xml:space="preserve">                        , la somme de</t>
  </si>
  <si>
    <t>SCAF DE LONGEVELLE</t>
  </si>
  <si>
    <t>Mr Johann DEVAUX</t>
  </si>
  <si>
    <t xml:space="preserve">2, rue du Conot          </t>
  </si>
  <si>
    <t xml:space="preserve">25380  CHARMOILLE              </t>
  </si>
  <si>
    <t>A déduire N/Facture n° 113301 du 30/04/24</t>
  </si>
  <si>
    <t>PS : Nous virons ce jour, sur votre compte N° 12506 20017 11707951010 37</t>
  </si>
  <si>
    <t>CAFC SANCEY LE GRAND    , la somme de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</si>
  <si>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</si>
  <si>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</si>
  <si>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</si>
  <si>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</si>
  <si>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</si>
  <si>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</si>
  <si>
    <t>PS : Nous virons ce jour, sur votre compte N° 10807 6 22321737995 58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</si>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</sst>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0"/>
    <numFmt numFmtId="165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2" fillId="0" borderId="0" xfId="0" applyNumberFormat="1" applyFon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41A5-5E66-497C-8361-1000E7D0AC6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72D3-2759-4119-B911-ECC6FA61C5E3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0</v>
      </c>
    </row>
    <row r="11" spans="6:6" x14ac:dyDescent="0.25">
      <c r="F11" s="1" t="s">
        <v>1</v>
      </c>
    </row>
    <row r="12" spans="6:6" x14ac:dyDescent="0.25">
      <c r="F12" s="1" t="s">
        <v>2</v>
      </c>
    </row>
    <row r="13" spans="6:6" x14ac:dyDescent="0.25">
      <c r="F13" s="1" t="s">
        <v>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113</v>
      </c>
      <c r="D28" s="1" t="s">
        <v>9</v>
      </c>
      <c r="E28" s="5">
        <v>4.1239999999999997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25981.200000000001</v>
      </c>
    </row>
    <row r="29" spans="1:10" ht="4.2" customHeight="1" x14ac:dyDescent="0.25"/>
    <row r="30" spans="1:10" x14ac:dyDescent="0.25">
      <c r="F30" s="1" t="s">
        <v>13</v>
      </c>
      <c r="J30" s="8">
        <f>+J28</f>
        <v>25981.200000000001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1428.97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27410.170000000002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22</v>
      </c>
    </row>
    <row r="47" spans="2:10" x14ac:dyDescent="0.25">
      <c r="B47" s="1" t="s">
        <v>23</v>
      </c>
      <c r="J47" s="10">
        <f>+J33</f>
        <v>27410.170000000002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9ABC-C01E-492F-83FF-133406D77198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24</v>
      </c>
    </row>
    <row r="11" spans="6:6" x14ac:dyDescent="0.25">
      <c r="F11" s="1" t="s">
        <v>25</v>
      </c>
    </row>
    <row r="12" spans="6:6" x14ac:dyDescent="0.25">
      <c r="F12" s="1" t="s">
        <v>26</v>
      </c>
    </row>
    <row r="13" spans="6:6" x14ac:dyDescent="0.25">
      <c r="F13" s="1" t="s">
        <v>27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389</v>
      </c>
      <c r="D28" s="1" t="s">
        <v>9</v>
      </c>
      <c r="E28" s="5">
        <v>14.805999999999999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93277.8</v>
      </c>
    </row>
    <row r="29" spans="1:10" ht="4.2" customHeight="1" x14ac:dyDescent="0.25"/>
    <row r="30" spans="1:10" x14ac:dyDescent="0.25">
      <c r="F30" s="1" t="s">
        <v>13</v>
      </c>
      <c r="J30" s="8">
        <f>+J28</f>
        <v>93277.8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5130.28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98408.08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28</v>
      </c>
    </row>
    <row r="47" spans="2:10" x14ac:dyDescent="0.25">
      <c r="B47" s="1" t="s">
        <v>29</v>
      </c>
      <c r="J47" s="10">
        <f>+J33</f>
        <v>98408.08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C143-9B9C-449C-93DD-C3CE517797A4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30</v>
      </c>
    </row>
    <row r="11" spans="6:6" x14ac:dyDescent="0.25">
      <c r="F11" s="1" t="s">
        <v>31</v>
      </c>
    </row>
    <row r="12" spans="6:6" x14ac:dyDescent="0.25">
      <c r="F12" s="1" t="s">
        <v>32</v>
      </c>
    </row>
    <row r="13" spans="6:6" x14ac:dyDescent="0.25">
      <c r="F13" s="1" t="s">
        <v>33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467</v>
      </c>
      <c r="D28" s="1" t="s">
        <v>9</v>
      </c>
      <c r="E28" s="5">
        <v>18.780999999999999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118320.3</v>
      </c>
    </row>
    <row r="29" spans="1:10" ht="4.2" customHeight="1" x14ac:dyDescent="0.25"/>
    <row r="30" spans="1:10" x14ac:dyDescent="0.25">
      <c r="F30" s="1" t="s">
        <v>13</v>
      </c>
      <c r="J30" s="8">
        <f>+J28</f>
        <v>118320.3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6507.62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124827.92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34</v>
      </c>
    </row>
    <row r="47" spans="2:10" x14ac:dyDescent="0.25">
      <c r="B47" s="1" t="s">
        <v>35</v>
      </c>
      <c r="J47" s="10">
        <f>+J33</f>
        <v>124827.92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60A6-211F-41A9-8BC1-6ABEFAD34400}">
  <dimension ref="A10:J50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36</v>
      </c>
    </row>
    <row r="11" spans="6:6" x14ac:dyDescent="0.25">
      <c r="F11" s="1" t="s">
        <v>37</v>
      </c>
    </row>
    <row r="12" spans="6:6" x14ac:dyDescent="0.25">
      <c r="F12" s="1" t="s">
        <v>38</v>
      </c>
    </row>
    <row r="13" spans="6:6" x14ac:dyDescent="0.25">
      <c r="F13" s="1" t="s">
        <v>39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653</v>
      </c>
      <c r="D28" s="1" t="s">
        <v>9</v>
      </c>
      <c r="E28" s="5">
        <v>25.754000000000001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162250.20000000001</v>
      </c>
    </row>
    <row r="29" spans="1:10" ht="4.2" customHeight="1" x14ac:dyDescent="0.25"/>
    <row r="30" spans="1:10" x14ac:dyDescent="0.25">
      <c r="F30" s="1" t="s">
        <v>13</v>
      </c>
      <c r="J30" s="8">
        <f>+J28</f>
        <v>162250.20000000001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8923.76</v>
      </c>
    </row>
    <row r="32" spans="1:10" ht="4.2" customHeight="1" x14ac:dyDescent="0.25"/>
    <row r="33" spans="2:10" x14ac:dyDescent="0.25">
      <c r="J33" s="10">
        <f>SUM(J30:J31)</f>
        <v>171173.96000000002</v>
      </c>
    </row>
    <row r="34" spans="2:10" x14ac:dyDescent="0.25">
      <c r="B34" s="1" t="s">
        <v>40</v>
      </c>
      <c r="J34" s="10">
        <v>-1044.83</v>
      </c>
    </row>
    <row r="36" spans="2:10" x14ac:dyDescent="0.25">
      <c r="F36" s="3" t="s">
        <v>17</v>
      </c>
      <c r="J36" s="14">
        <f>SUM(J33:J34)</f>
        <v>170129.13000000003</v>
      </c>
    </row>
    <row r="38" spans="2:10" x14ac:dyDescent="0.25">
      <c r="B38" s="1" t="s">
        <v>18</v>
      </c>
    </row>
    <row r="40" spans="2:10" x14ac:dyDescent="0.25">
      <c r="B40" s="1" t="s">
        <v>19</v>
      </c>
    </row>
    <row r="41" spans="2:10" x14ac:dyDescent="0.25">
      <c r="B41" s="1" t="s">
        <v>20</v>
      </c>
    </row>
    <row r="43" spans="2:10" x14ac:dyDescent="0.25">
      <c r="H43" s="3" t="s">
        <v>21</v>
      </c>
    </row>
    <row r="49" spans="2:10" x14ac:dyDescent="0.25">
      <c r="B49" s="1" t="s">
        <v>41</v>
      </c>
    </row>
    <row r="50" spans="2:10" x14ac:dyDescent="0.25">
      <c r="B50" s="1" t="s">
        <v>42</v>
      </c>
      <c r="J50" s="10">
        <f>+J36</f>
        <v>170129.13000000003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9843-A7B8-4FB7-A1F1-20C270BF4E0F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30</v>
      </c>
    </row>
    <row r="11" spans="6:6" x14ac:dyDescent="0.25">
      <c r="F11" s="1" t="s">
        <v>43</v>
      </c>
    </row>
    <row r="12" spans="6:6" x14ac:dyDescent="0.25">
      <c r="F12" s="1" t="s">
        <v>32</v>
      </c>
    </row>
    <row r="13" spans="6:6" x14ac:dyDescent="0.25">
      <c r="F13" s="1" t="s">
        <v>44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504</v>
      </c>
      <c r="D28" s="1" t="s">
        <v>9</v>
      </c>
      <c r="E28" s="5">
        <v>19.244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121237.2</v>
      </c>
    </row>
    <row r="29" spans="1:10" ht="4.2" customHeight="1" x14ac:dyDescent="0.25"/>
    <row r="30" spans="1:10" x14ac:dyDescent="0.25">
      <c r="F30" s="1" t="s">
        <v>13</v>
      </c>
      <c r="J30" s="8">
        <f>+J28</f>
        <v>121237.2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6668.05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127905.25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34</v>
      </c>
    </row>
    <row r="47" spans="2:10" x14ac:dyDescent="0.25">
      <c r="B47" s="1" t="s">
        <v>35</v>
      </c>
      <c r="J47" s="10">
        <f>+J33</f>
        <v>127905.25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2B86-09B6-4398-8769-53B8D56EECFF}">
  <dimension ref="A10:J47"/>
  <sheetViews>
    <sheetView tabSelected="1"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45</v>
      </c>
    </row>
    <row r="11" spans="6:6" x14ac:dyDescent="0.25">
      <c r="F11" s="1" t="s">
        <v>46</v>
      </c>
    </row>
    <row r="12" spans="6:6" x14ac:dyDescent="0.25">
      <c r="F12" s="1" t="s">
        <v>47</v>
      </c>
    </row>
    <row r="13" spans="6:6" x14ac:dyDescent="0.25">
      <c r="F13" s="1" t="s">
        <v>48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480</v>
      </c>
      <c r="D28" s="1" t="s">
        <v>9</v>
      </c>
      <c r="E28" s="5">
        <v>19.271000000000001</v>
      </c>
      <c r="F28" s="6" t="s">
        <v>10</v>
      </c>
      <c r="G28" s="7" t="s">
        <v>11</v>
      </c>
      <c r="H28" s="8">
        <v>6300</v>
      </c>
      <c r="I28" s="9" t="s">
        <v>12</v>
      </c>
      <c r="J28" s="11">
        <f>ROUND(+E28*H28, 2)</f>
        <v>121407.3</v>
      </c>
    </row>
    <row r="29" spans="1:10" ht="4.2" customHeight="1" x14ac:dyDescent="0.25"/>
    <row r="30" spans="1:10" x14ac:dyDescent="0.25">
      <c r="F30" s="1" t="s">
        <v>13</v>
      </c>
      <c r="J30" s="8">
        <f>+J28</f>
        <v>121407.3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6677.4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128084.7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49</v>
      </c>
    </row>
    <row r="47" spans="2:10" x14ac:dyDescent="0.25">
      <c r="B47" s="1" t="s">
        <v>50</v>
      </c>
      <c r="J47" s="10">
        <f>+J33</f>
        <v>128084.7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2024-07-30T08:46:59Z</dcterms:created>
  <dcterms:modified xsi:type="dcterms:W3CDTF">2024-07-30T08:47:05Z</dcterms:modified>
</cp:coreProperties>
</file>