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ssier Dev\Informatique\Gestcom\Documents\Pesées\"/>
    </mc:Choice>
  </mc:AlternateContent>
  <xr:revisionPtr revIDLastSave="0" documentId="8_{EF303CC4-6D3B-4A9C-BC53-F9BBF5C01A99}" xr6:coauthVersionLast="47" xr6:coauthVersionMax="47" xr10:uidLastSave="{00000000-0000-0000-0000-000000000000}"/>
  <bookViews>
    <workbookView xWindow="-24420" yWindow="2385" windowWidth="21600" windowHeight="11295" firstSheet="4" activeTab="6" xr2:uid="{0F83EC7D-C5EE-4E0A-AFE0-AE383F57CA9A}"/>
  </bookViews>
  <sheets>
    <sheet name="Feuil1" sheetId="1" r:id="rId1"/>
    <sheet name="SCAF GRANGE DE VAIVRE    " sheetId="2" r:id="rId2"/>
    <sheet name="SCAF BRESSE JURASSIENNE  " sheetId="3" r:id="rId3"/>
    <sheet name="ANDELOT" sheetId="4" r:id="rId4"/>
    <sheet name="SCAF LONGEVELLE-RUSSEY   " sheetId="5" r:id="rId5"/>
    <sheet name="GD COMBE CHATELEU        " sheetId="6" r:id="rId6"/>
    <sheet name="SCAF LAVANS VUILLAFANS 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7" l="1"/>
  <c r="C32" i="7"/>
  <c r="F33" i="6"/>
  <c r="C33" i="6"/>
  <c r="F33" i="5"/>
  <c r="C33" i="5"/>
  <c r="F32" i="4"/>
  <c r="C32" i="4"/>
  <c r="F33" i="3"/>
  <c r="C33" i="3"/>
  <c r="F32" i="2"/>
  <c r="C32" i="2"/>
</calcChain>
</file>

<file path=xl/sharedStrings.xml><?xml version="1.0" encoding="utf-8"?>
<sst xmlns="http://schemas.openxmlformats.org/spreadsheetml/2006/main" count="159" uniqueCount="48">
  <si>
    <t>SCAF DE LA FRUITIERE DU VAL DE LOUE</t>
  </si>
  <si>
    <t>Mr Frédéric PONCET</t>
  </si>
  <si>
    <t xml:space="preserve">                         </t>
  </si>
  <si>
    <t xml:space="preserve">39600 GRANGE DE VAIVRE         </t>
  </si>
  <si>
    <t xml:space="preserve">      TB/PB</t>
  </si>
  <si>
    <t>Le 23 juillet 2024</t>
  </si>
  <si>
    <t>Monsieur le Président</t>
  </si>
  <si>
    <t>Nous vous prions de bien vouloir trouver ci-dessous, le détail des</t>
  </si>
  <si>
    <t xml:space="preserve">pesées concernant vos fabrications de </t>
  </si>
  <si>
    <t>JUIN 2024</t>
  </si>
  <si>
    <t>Date</t>
  </si>
  <si>
    <t>Entrée</t>
  </si>
  <si>
    <t>Nombres</t>
  </si>
  <si>
    <t>Meules</t>
  </si>
  <si>
    <t>Poids</t>
  </si>
  <si>
    <t>brut</t>
  </si>
  <si>
    <t>%</t>
  </si>
  <si>
    <t>Réfaction</t>
  </si>
  <si>
    <t>Net</t>
  </si>
  <si>
    <t>3,50%</t>
  </si>
  <si>
    <t>Totaux</t>
  </si>
  <si>
    <t xml:space="preserve">          Vous en souhaitant bonne réception</t>
  </si>
  <si>
    <t xml:space="preserve">          Nous vous prions d'agréer, Monsieur le Président, nos</t>
  </si>
  <si>
    <t>salutations distinguées</t>
  </si>
  <si>
    <t>Service Technique</t>
  </si>
  <si>
    <t>SCAF BRESSE JURASSIENNE</t>
  </si>
  <si>
    <t>Mr Benoit COTE</t>
  </si>
  <si>
    <t>3 Pace de la Mairie</t>
  </si>
  <si>
    <t xml:space="preserve">39140  DESNES                  </t>
  </si>
  <si>
    <t>2,60%</t>
  </si>
  <si>
    <t>COOPERATIVE DES MONTS DE JOUX</t>
  </si>
  <si>
    <t>ATELIER ANDELOT</t>
  </si>
  <si>
    <t>36 Rue Laurent Troutet</t>
  </si>
  <si>
    <t>25560  BANANS</t>
  </si>
  <si>
    <t>2,80%</t>
  </si>
  <si>
    <t>SCAF DE LONGEVELLE</t>
  </si>
  <si>
    <t>Mr Johann DEVAUX</t>
  </si>
  <si>
    <t xml:space="preserve">2, rue du Conot          </t>
  </si>
  <si>
    <t xml:space="preserve">25380  CHARMOILLE              </t>
  </si>
  <si>
    <t>2,90%</t>
  </si>
  <si>
    <t>2,40%</t>
  </si>
  <si>
    <t>Atelier Gd Combe Chateleu</t>
  </si>
  <si>
    <t xml:space="preserve">25560 BANNANS                  </t>
  </si>
  <si>
    <t>SCAF DE LAVANS VUILLAFANS</t>
  </si>
  <si>
    <t>Mr Joany LEPINE</t>
  </si>
  <si>
    <t>6 Chemin des Clos Ronds</t>
  </si>
  <si>
    <t xml:space="preserve">25380  LAVANS VUILLAFANS       </t>
  </si>
  <si>
    <t>0,90%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</si>
</sst>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\ \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164" fontId="1" fillId="0" borderId="5" xfId="0" applyNumberFormat="1" applyFont="1" applyBorder="1" applyAlignment="1">
      <alignment horizontal="right"/>
    </xf>
    <xf numFmtId="0" fontId="1" fillId="0" borderId="0" xfId="0" applyFont="1" applyBorder="1"/>
    <xf numFmtId="164" fontId="1" fillId="0" borderId="0" xfId="0" applyNumberFormat="1" applyFont="1" applyBorder="1" applyAlignment="1">
      <alignment horizontal="right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164" fontId="1" fillId="0" borderId="8" xfId="0" applyNumberFormat="1" applyFont="1" applyBorder="1" applyAlignment="1">
      <alignment horizontal="right"/>
    </xf>
    <xf numFmtId="0" fontId="1" fillId="0" borderId="7" xfId="0" applyFont="1" applyBorder="1"/>
    <xf numFmtId="164" fontId="2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4661-5785-4B3A-8B22-C169079DC3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0479-0DF7-4841-93E4-E2D50D2B4AF3}">
  <dimension ref="A7:F45"/>
  <sheetViews>
    <sheetView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0</v>
      </c>
    </row>
    <row r="8" spans="1:4" x14ac:dyDescent="0.2">
      <c r="D8" s="1" t="s">
        <v>1</v>
      </c>
    </row>
    <row r="9" spans="1:4" x14ac:dyDescent="0.2">
      <c r="D9" s="1" t="s">
        <v>2</v>
      </c>
    </row>
    <row r="10" spans="1:4" x14ac:dyDescent="0.2">
      <c r="D10" s="1" t="s">
        <v>3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45462</v>
      </c>
      <c r="C30" s="12">
        <v>87</v>
      </c>
      <c r="D30" s="16">
        <v>3196</v>
      </c>
      <c r="E30" s="20" t="s">
        <v>19</v>
      </c>
      <c r="F30" s="10">
        <v>3084</v>
      </c>
    </row>
    <row r="31" spans="2:6" x14ac:dyDescent="0.2">
      <c r="B31" s="9"/>
      <c r="C31" s="11"/>
      <c r="D31" s="15"/>
      <c r="E31" s="15"/>
      <c r="F31" s="9"/>
    </row>
    <row r="32" spans="2:6" x14ac:dyDescent="0.2">
      <c r="B32" s="22" t="s">
        <v>20</v>
      </c>
      <c r="C32" s="6">
        <f>SUM(C29:C30)</f>
        <v>87</v>
      </c>
      <c r="D32" s="15"/>
      <c r="E32" s="15"/>
      <c r="F32" s="18">
        <f>SUM(F29:F30)</f>
        <v>3084</v>
      </c>
    </row>
    <row r="33" spans="2:6" x14ac:dyDescent="0.2">
      <c r="B33" s="23"/>
      <c r="C33" s="5"/>
      <c r="D33" s="17"/>
      <c r="E33" s="17"/>
      <c r="F33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2:B33"/>
    <mergeCell ref="C32:C33"/>
    <mergeCell ref="F32:F3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55AC-1127-4CF5-A56B-C6A66D294D18}">
  <dimension ref="A7:F45"/>
  <sheetViews>
    <sheetView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25</v>
      </c>
    </row>
    <row r="8" spans="1:4" x14ac:dyDescent="0.2">
      <c r="D8" s="1" t="s">
        <v>26</v>
      </c>
    </row>
    <row r="9" spans="1:4" x14ac:dyDescent="0.2">
      <c r="D9" s="1" t="s">
        <v>27</v>
      </c>
    </row>
    <row r="10" spans="1:4" x14ac:dyDescent="0.2">
      <c r="D10" s="1" t="s">
        <v>28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45461</v>
      </c>
      <c r="C30" s="12">
        <v>306</v>
      </c>
      <c r="D30" s="16">
        <v>10342</v>
      </c>
      <c r="E30" s="20" t="s">
        <v>29</v>
      </c>
      <c r="F30" s="10">
        <v>10073</v>
      </c>
    </row>
    <row r="31" spans="2:6" x14ac:dyDescent="0.2">
      <c r="B31" s="21">
        <v>45461</v>
      </c>
      <c r="C31" s="12">
        <v>306</v>
      </c>
      <c r="D31" s="16">
        <v>10342</v>
      </c>
      <c r="E31" s="20" t="s">
        <v>29</v>
      </c>
      <c r="F31" s="10">
        <v>10073</v>
      </c>
    </row>
    <row r="32" spans="2:6" x14ac:dyDescent="0.2">
      <c r="B32" s="9"/>
      <c r="C32" s="11"/>
      <c r="D32" s="15"/>
      <c r="E32" s="15"/>
      <c r="F32" s="9"/>
    </row>
    <row r="33" spans="2:6" x14ac:dyDescent="0.2">
      <c r="B33" s="22" t="s">
        <v>20</v>
      </c>
      <c r="C33" s="6">
        <f>SUM(C29:C31)</f>
        <v>612</v>
      </c>
      <c r="D33" s="15"/>
      <c r="E33" s="15"/>
      <c r="F33" s="18">
        <f>SUM(F29:F31)</f>
        <v>20146</v>
      </c>
    </row>
    <row r="34" spans="2:6" x14ac:dyDescent="0.2">
      <c r="B34" s="23"/>
      <c r="C34" s="5"/>
      <c r="D34" s="17"/>
      <c r="E34" s="17"/>
      <c r="F34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3:B34"/>
    <mergeCell ref="C33:C34"/>
    <mergeCell ref="F33:F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22A5-F467-4A83-85C1-9F61F77780F5}">
  <dimension ref="A7:F45"/>
  <sheetViews>
    <sheetView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30</v>
      </c>
    </row>
    <row r="8" spans="1:4" x14ac:dyDescent="0.2">
      <c r="D8" s="1" t="s">
        <v>31</v>
      </c>
    </row>
    <row r="9" spans="1:4" x14ac:dyDescent="0.2">
      <c r="D9" s="1" t="s">
        <v>32</v>
      </c>
    </row>
    <row r="10" spans="1:4" x14ac:dyDescent="0.2">
      <c r="D10" s="1" t="s">
        <v>33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45471</v>
      </c>
      <c r="C30" s="12">
        <v>306</v>
      </c>
      <c r="D30" s="16">
        <v>12067</v>
      </c>
      <c r="E30" s="20" t="s">
        <v>34</v>
      </c>
      <c r="F30" s="10">
        <v>11729</v>
      </c>
    </row>
    <row r="31" spans="2:6" x14ac:dyDescent="0.2">
      <c r="B31" s="9"/>
      <c r="C31" s="11"/>
      <c r="D31" s="15"/>
      <c r="E31" s="15"/>
      <c r="F31" s="9"/>
    </row>
    <row r="32" spans="2:6" x14ac:dyDescent="0.2">
      <c r="B32" s="22" t="s">
        <v>20</v>
      </c>
      <c r="C32" s="6">
        <f>SUM(C29:C30)</f>
        <v>306</v>
      </c>
      <c r="D32" s="15"/>
      <c r="E32" s="15"/>
      <c r="F32" s="18">
        <f>SUM(F29:F30)</f>
        <v>11729</v>
      </c>
    </row>
    <row r="33" spans="2:6" x14ac:dyDescent="0.2">
      <c r="B33" s="23"/>
      <c r="C33" s="5"/>
      <c r="D33" s="17"/>
      <c r="E33" s="17"/>
      <c r="F33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2:B33"/>
    <mergeCell ref="C32:C33"/>
    <mergeCell ref="F32:F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ECA6-9605-4E32-90A9-A5A87E379372}">
  <dimension ref="A7:F45"/>
  <sheetViews>
    <sheetView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35</v>
      </c>
    </row>
    <row r="8" spans="1:4" x14ac:dyDescent="0.2">
      <c r="D8" s="1" t="s">
        <v>36</v>
      </c>
    </row>
    <row r="9" spans="1:4" x14ac:dyDescent="0.2">
      <c r="D9" s="1" t="s">
        <v>37</v>
      </c>
    </row>
    <row r="10" spans="1:4" x14ac:dyDescent="0.2">
      <c r="D10" s="1" t="s">
        <v>38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45455</v>
      </c>
      <c r="C30" s="12">
        <v>176</v>
      </c>
      <c r="D30" s="16">
        <v>6927</v>
      </c>
      <c r="E30" s="20" t="s">
        <v>39</v>
      </c>
      <c r="F30" s="10">
        <v>6726</v>
      </c>
    </row>
    <row r="31" spans="2:6" x14ac:dyDescent="0.2">
      <c r="B31" s="21">
        <v>45475</v>
      </c>
      <c r="C31" s="12">
        <v>356</v>
      </c>
      <c r="D31" s="16">
        <v>13911</v>
      </c>
      <c r="E31" s="20" t="s">
        <v>40</v>
      </c>
      <c r="F31" s="10">
        <v>13577</v>
      </c>
    </row>
    <row r="32" spans="2:6" x14ac:dyDescent="0.2">
      <c r="B32" s="9"/>
      <c r="C32" s="11"/>
      <c r="D32" s="15"/>
      <c r="E32" s="15"/>
      <c r="F32" s="9"/>
    </row>
    <row r="33" spans="2:6" x14ac:dyDescent="0.2">
      <c r="B33" s="22" t="s">
        <v>20</v>
      </c>
      <c r="C33" s="6">
        <f>SUM(C29:C31)</f>
        <v>532</v>
      </c>
      <c r="D33" s="15"/>
      <c r="E33" s="15"/>
      <c r="F33" s="18">
        <f>SUM(F29:F31)</f>
        <v>20303</v>
      </c>
    </row>
    <row r="34" spans="2:6" x14ac:dyDescent="0.2">
      <c r="B34" s="23"/>
      <c r="C34" s="5"/>
      <c r="D34" s="17"/>
      <c r="E34" s="17"/>
      <c r="F34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3:B34"/>
    <mergeCell ref="C33:C34"/>
    <mergeCell ref="F33:F3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5116-EBDC-47E7-9438-DA059F4FDA04}">
  <dimension ref="A7:F45"/>
  <sheetViews>
    <sheetView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30</v>
      </c>
    </row>
    <row r="8" spans="1:4" x14ac:dyDescent="0.2">
      <c r="D8" s="1" t="s">
        <v>41</v>
      </c>
    </row>
    <row r="9" spans="1:4" x14ac:dyDescent="0.2">
      <c r="D9" s="1" t="s">
        <v>32</v>
      </c>
    </row>
    <row r="10" spans="1:4" x14ac:dyDescent="0.2">
      <c r="D10" s="1" t="s">
        <v>42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45460</v>
      </c>
      <c r="C30" s="12">
        <v>264</v>
      </c>
      <c r="D30" s="16">
        <v>10563</v>
      </c>
      <c r="E30" s="20" t="s">
        <v>29</v>
      </c>
      <c r="F30" s="10">
        <v>10288</v>
      </c>
    </row>
    <row r="31" spans="2:6" x14ac:dyDescent="0.2">
      <c r="B31" s="21">
        <v>45481</v>
      </c>
      <c r="C31" s="12">
        <v>159</v>
      </c>
      <c r="D31" s="16">
        <v>6186</v>
      </c>
      <c r="E31" s="20" t="s">
        <v>40</v>
      </c>
      <c r="F31" s="10">
        <v>6038</v>
      </c>
    </row>
    <row r="32" spans="2:6" x14ac:dyDescent="0.2">
      <c r="B32" s="9"/>
      <c r="C32" s="11"/>
      <c r="D32" s="15"/>
      <c r="E32" s="15"/>
      <c r="F32" s="9"/>
    </row>
    <row r="33" spans="2:6" x14ac:dyDescent="0.2">
      <c r="B33" s="22" t="s">
        <v>20</v>
      </c>
      <c r="C33" s="6">
        <f>SUM(C29:C31)</f>
        <v>423</v>
      </c>
      <c r="D33" s="15"/>
      <c r="E33" s="15"/>
      <c r="F33" s="18">
        <f>SUM(F29:F31)</f>
        <v>16326</v>
      </c>
    </row>
    <row r="34" spans="2:6" x14ac:dyDescent="0.2">
      <c r="B34" s="23"/>
      <c r="C34" s="5"/>
      <c r="D34" s="17"/>
      <c r="E34" s="17"/>
      <c r="F34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3:B34"/>
    <mergeCell ref="C33:C34"/>
    <mergeCell ref="F33:F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C242-54F9-40E5-BCFB-213DF93361F7}">
  <dimension ref="A7:F45"/>
  <sheetViews>
    <sheetView tabSelected="1" workbookViewId="0"/>
  </sheetViews>
  <sheetFormatPr baseColWidth="10" defaultRowHeight="14.25" x14ac:dyDescent="0.2"/>
  <cols>
    <col min="1" max="1" width="21.28515625" style="1" customWidth="1"/>
    <col min="2" max="5" width="13" style="1" customWidth="1"/>
    <col min="6" max="16384" width="11.42578125" style="1"/>
  </cols>
  <sheetData>
    <row r="7" spans="1:4" x14ac:dyDescent="0.2">
      <c r="D7" s="1" t="s">
        <v>43</v>
      </c>
    </row>
    <row r="8" spans="1:4" x14ac:dyDescent="0.2">
      <c r="D8" s="1" t="s">
        <v>44</v>
      </c>
    </row>
    <row r="9" spans="1:4" x14ac:dyDescent="0.2">
      <c r="D9" s="1" t="s">
        <v>45</v>
      </c>
    </row>
    <row r="10" spans="1:4" x14ac:dyDescent="0.2">
      <c r="D10" s="1" t="s">
        <v>46</v>
      </c>
    </row>
    <row r="15" spans="1:4" x14ac:dyDescent="0.2">
      <c r="A15" s="1" t="s">
        <v>4</v>
      </c>
    </row>
    <row r="16" spans="1:4" x14ac:dyDescent="0.2">
      <c r="D16" s="1" t="s">
        <v>5</v>
      </c>
    </row>
    <row r="21" spans="2:6" x14ac:dyDescent="0.2">
      <c r="B21" s="1" t="s">
        <v>6</v>
      </c>
    </row>
    <row r="23" spans="2:6" x14ac:dyDescent="0.2">
      <c r="B23" s="1" t="s">
        <v>7</v>
      </c>
    </row>
    <row r="24" spans="2:6" ht="15" x14ac:dyDescent="0.25">
      <c r="B24" s="1" t="s">
        <v>8</v>
      </c>
      <c r="E24" s="2" t="s">
        <v>9</v>
      </c>
    </row>
    <row r="27" spans="2:6" x14ac:dyDescent="0.2">
      <c r="B27" s="7" t="s">
        <v>10</v>
      </c>
      <c r="C27" s="3" t="s">
        <v>12</v>
      </c>
      <c r="D27" s="13" t="s">
        <v>14</v>
      </c>
      <c r="E27" s="13" t="s">
        <v>16</v>
      </c>
      <c r="F27" s="7" t="s">
        <v>14</v>
      </c>
    </row>
    <row r="28" spans="2:6" x14ac:dyDescent="0.2">
      <c r="B28" s="8" t="s">
        <v>11</v>
      </c>
      <c r="C28" s="4" t="s">
        <v>13</v>
      </c>
      <c r="D28" s="14" t="s">
        <v>15</v>
      </c>
      <c r="E28" s="14" t="s">
        <v>17</v>
      </c>
      <c r="F28" s="8" t="s">
        <v>18</v>
      </c>
    </row>
    <row r="29" spans="2:6" x14ac:dyDescent="0.2">
      <c r="B29" s="9"/>
      <c r="C29" s="11"/>
      <c r="D29" s="15"/>
      <c r="E29" s="15"/>
      <c r="F29" s="9"/>
    </row>
    <row r="30" spans="2:6" x14ac:dyDescent="0.2">
      <c r="B30" s="21">
        <v>45477</v>
      </c>
      <c r="C30" s="12">
        <v>440</v>
      </c>
      <c r="D30" s="16">
        <v>17456</v>
      </c>
      <c r="E30" s="20" t="s">
        <v>47</v>
      </c>
      <c r="F30" s="10">
        <v>17299</v>
      </c>
    </row>
    <row r="31" spans="2:6" x14ac:dyDescent="0.2">
      <c r="B31" s="9"/>
      <c r="C31" s="11"/>
      <c r="D31" s="15"/>
      <c r="E31" s="15"/>
      <c r="F31" s="9"/>
    </row>
    <row r="32" spans="2:6" x14ac:dyDescent="0.2">
      <c r="B32" s="22" t="s">
        <v>20</v>
      </c>
      <c r="C32" s="6">
        <f>SUM(C29:C30)</f>
        <v>440</v>
      </c>
      <c r="D32" s="15"/>
      <c r="E32" s="15"/>
      <c r="F32" s="18">
        <f>SUM(F29:F30)</f>
        <v>17299</v>
      </c>
    </row>
    <row r="33" spans="2:6" x14ac:dyDescent="0.2">
      <c r="B33" s="23"/>
      <c r="C33" s="5"/>
      <c r="D33" s="17"/>
      <c r="E33" s="17"/>
      <c r="F33" s="19"/>
    </row>
    <row r="39" spans="2:6" x14ac:dyDescent="0.2">
      <c r="B39" s="1" t="s">
        <v>21</v>
      </c>
    </row>
    <row r="41" spans="2:6" x14ac:dyDescent="0.2">
      <c r="B41" s="1" t="s">
        <v>22</v>
      </c>
    </row>
    <row r="42" spans="2:6" x14ac:dyDescent="0.2">
      <c r="B42" s="1" t="s">
        <v>23</v>
      </c>
    </row>
    <row r="45" spans="2:6" ht="15" x14ac:dyDescent="0.25">
      <c r="E45" s="2" t="s">
        <v>24</v>
      </c>
    </row>
  </sheetData>
  <mergeCells count="3">
    <mergeCell ref="B32:B33"/>
    <mergeCell ref="C32:C33"/>
    <mergeCell ref="F32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Feuil1</vt:lpstr>
      <vt:lpstr>SCAF GRANGE DE VAIVRE    </vt:lpstr>
      <vt:lpstr>SCAF BRESSE JURASSIENNE  </vt:lpstr>
      <vt:lpstr>ANDELOT</vt:lpstr>
      <vt:lpstr>SCAF LONGEVELLE-RUSSEY   </vt:lpstr>
      <vt:lpstr>GD COMBE CHATELEU        </vt:lpstr>
      <vt:lpstr>SCAF LAVANS VUILLAFANS 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 guillot</dc:creator>
  <cp:lastModifiedBy>steeve guillot</cp:lastModifiedBy>
  <dcterms:created xsi:type="dcterms:W3CDTF">2024-07-23T09:48:56Z</dcterms:created>
  <dcterms:modified xsi:type="dcterms:W3CDTF">2024-07-23T09:49:05Z</dcterms:modified>
</cp:coreProperties>
</file>